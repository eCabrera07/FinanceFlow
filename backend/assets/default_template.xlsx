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📋 Budgets" sheetId="1" state="visible" r:id="rId3"/>
    <sheet name="📊 Dashboard" sheetId="2" state="visible" r:id="rId4"/>
    <sheet name="_template" sheetId="3" state="hidden" r:id="rId5"/>
    <sheet name="Jan 2026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<sst xmlns="http://schemas.openxmlformats.org/spreadsheetml/2006/main" count="104" uniqueCount="57">
  <si>
    <t xml:space="preserve">Category</t>
  </si>
  <si>
    <t xml:space="preserve">Monthly Budget</t>
  </si>
  <si>
    <t xml:space="preserve">Notes / Source</t>
  </si>
  <si>
    <t xml:space="preserve">Food &amp; Dining</t>
  </si>
  <si>
    <t xml:space="preserve">Gas &amp; Fuel</t>
  </si>
  <si>
    <t xml:space="preserve">Groceries</t>
  </si>
  <si>
    <t xml:space="preserve">Shopping</t>
  </si>
  <si>
    <t xml:space="preserve">Subscriptions</t>
  </si>
  <si>
    <t xml:space="preserve">Entertainment</t>
  </si>
  <si>
    <t xml:space="preserve">Healthcare</t>
  </si>
  <si>
    <t xml:space="preserve">Utilities</t>
  </si>
  <si>
    <t xml:space="preserve">Travel</t>
  </si>
  <si>
    <t xml:space="preserve">Other</t>
  </si>
  <si>
    <t xml:space="preserve">TOTAL MONTHLY BUDGET</t>
  </si>
  <si>
    <t xml:space="preserve">💰 FinanceFlow – Personal Finance Dashboard 2026</t>
  </si>
  <si>
    <t xml:space="preserve">📅 Year Summary</t>
  </si>
  <si>
    <t xml:space="preserve">🎯 Budget Progress</t>
  </si>
  <si>
    <t xml:space="preserve">Viewing Month:</t>
  </si>
  <si>
    <t xml:space="preserve">Month</t>
  </si>
  <si>
    <t xml:space="preserve">Expenses</t>
  </si>
  <si>
    <t xml:space="preserve">Income</t>
  </si>
  <si>
    <t xml:space="preserve">Net</t>
  </si>
  <si>
    <t xml:space="preserve">Spent</t>
  </si>
  <si>
    <t xml:space="preserve">Budget</t>
  </si>
  <si>
    <t xml:space="preserve">% Used</t>
  </si>
  <si>
    <t xml:space="preserve">Status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</si>
  <si>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</si>
  <si>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</si>
  <si>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</si>
  <si>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</si>
  <si>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</si>
  <si>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</si>
  <si>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</si>
  <si>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</si>
  <si>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</si>
  <si>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</si>
  <si>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</si>
  <si>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TOTAL</t>
  </si>
  <si>
    <t xml:space="preserve">Dec 2026</t>
  </si>
  <si>
    <t xml:space="preserve">YEAR TOTAL</t>
  </si>
  <si>
    <t xml:space="preserve">Savings Rate</t>
  </si>
  <si>
    <t xml:space="preserve">📈 Annual Income</t>
  </si>
  <si>
    <t xml:space="preserve">💸 Annual Expenses</t>
  </si>
  <si>
    <t xml:space="preserve">💰 Net Savings</t>
  </si>
  <si>
    <t xml:space="preserve">📊 Savings Rate</t>
  </si>
  <si>
    <t xml:space="preserve">Date</t>
  </si>
  <si>
    <t xml:space="preserve">Description</t>
  </si>
  <si>
    <t xml:space="preserve">Amount</t>
  </si>
  <si>
    <t xml:space="preserve">Source</t>
  </si>
  <si>
    <t xml:space="preserve">Type</t>
  </si>
  <si>
    <t xml:space="preserve">📊 Monthly Summary</t>
  </si>
  <si>
    <t xml:space="preserve">Total Income</t>
  </si>
  <si>
    <t xml:space="preserve">Total Expenses</t>
  </si>
  <si>
    <t xml:space="preserve">Net Balance</t>
  </si>
  <si>
    <t xml:space="preserve">Uncategorized ⚠</t>
  </si>
  <si>
    <t xml:space="preserve">Subtotal</t>
  </si>
  <si>
    <t xml:space="preserve">TOTAL EXPENSES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</si>
</sst>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;\-0.0%;\-"/>
    <numFmt numFmtId="167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A2B4A"/>
      <name val="Arial"/>
      <family val="0"/>
      <charset val="1"/>
    </font>
    <font>
      <sz val="10"/>
      <color rgb="FF1A2B4A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1A2B4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17A589"/>
      <name val="Arial"/>
      <family val="0"/>
      <charset val="1"/>
    </font>
    <font>
      <b val="true"/>
      <sz val="16"/>
      <color rgb="FFE67E22"/>
      <name val="Arial"/>
      <family val="0"/>
      <charset val="1"/>
    </font>
    <font>
      <b val="true"/>
      <sz val="16"/>
      <color rgb="FF2E6DA4"/>
      <name val="Arial"/>
      <family val="0"/>
      <charset val="1"/>
    </font>
    <font>
      <b val="true"/>
      <sz val="16"/>
      <color rgb="FF1A2B4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A2B4A"/>
        <bgColor rgb="FF003366"/>
      </patternFill>
    </fill>
    <fill>
      <patternFill patternType="solid">
        <fgColor rgb="FFF2F8FF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2E6DA4"/>
        <bgColor rgb="FF4672A8"/>
      </patternFill>
    </fill>
    <fill>
      <patternFill patternType="solid">
        <fgColor rgb="FF17A589"/>
        <bgColor rgb="FF4299B0"/>
      </patternFill>
    </fill>
    <fill>
      <patternFill patternType="solid">
        <fgColor rgb="FFF9E79F"/>
        <bgColor rgb="FFFFCC99"/>
      </patternFill>
    </fill>
    <fill>
      <patternFill patternType="solid">
        <fgColor rgb="FFEBF5FB"/>
        <bgColor rgb="FFF2F8FF"/>
      </patternFill>
    </fill>
    <fill>
      <patternFill patternType="solid">
        <fgColor rgb="FFE67E22"/>
        <bgColor rgb="FFDC853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 diagonalUp="false" diagonalDown="false"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92D050"/>
        </patternFill>
      </fill>
    </dxf>
    <dxf>
      <fill>
        <patternFill>
          <bgColor rgb="FFFF6666"/>
        </patternFill>
      </fill>
    </dxf>
    <dxf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DC3C7"/>
      <rgbColor rgb="FF878787"/>
      <rgbColor rgb="FF93A9CE"/>
      <rgbColor rgb="FFAB4744"/>
      <rgbColor rgb="FFF9F9F9"/>
      <rgbColor rgb="FFEBF5FB"/>
      <rgbColor rgb="FF660066"/>
      <rgbColor rgb="FFFF6666"/>
      <rgbColor rgb="FF2E6DA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8FF"/>
      <rgbColor rgb="FFCCFFCC"/>
      <rgbColor rgb="FFF9E79F"/>
      <rgbColor rgb="FFB8CD97"/>
      <rgbColor rgb="FFD09493"/>
      <rgbColor rgb="FFCC99FF"/>
      <rgbColor rgb="FFFFCC99"/>
      <rgbColor rgb="FF4672A8"/>
      <rgbColor rgb="FF4299B0"/>
      <rgbColor rgb="FF92D050"/>
      <rgbColor rgb="FFFFCC00"/>
      <rgbColor rgb="FFDC853E"/>
      <rgbColor rgb="FFE67E22"/>
      <rgbColor rgb="FF725990"/>
      <rgbColor rgb="FFA99BBD"/>
      <rgbColor rgb="FF003366"/>
      <rgbColor rgb="FF17A589"/>
      <rgbColor rgb="FF003300"/>
      <rgbColor rgb="FF333300"/>
      <rgbColor rgb="FF993300"/>
      <rgbColor rgb="FFC0504D"/>
      <rgbColor rgb="FF333399"/>
      <rgbColor rgb="FF1A2B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Dashboard'!B2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Dashboard'!$A$3:$A$14</c:f>
              <c:strCache>
                <c:ptCount val="12"/>
                <c:pt idx="0">
                  <c:v>Month</c:v>
                </c:pt>
                <c:pt idx="1">
                  <c:v>Jan 2026</c:v>
                </c:pt>
                <c:pt idx="2">
                  <c:v>Feb 2026</c:v>
                </c:pt>
                <c:pt idx="3">
                  <c:v>Mar 2026</c:v>
                </c:pt>
                <c:pt idx="4">
                  <c:v>Apr 2026</c:v>
                </c:pt>
                <c:pt idx="5">
                  <c:v>May 2026</c:v>
                </c:pt>
                <c:pt idx="6">
                  <c:v>Jun 2026</c:v>
                </c:pt>
                <c:pt idx="7">
                  <c:v>Jul 2026</c:v>
                </c:pt>
                <c:pt idx="8">
                  <c:v>Aug 2026</c:v>
                </c:pt>
                <c:pt idx="9">
                  <c:v>Sep 2026</c:v>
                </c:pt>
                <c:pt idx="10">
                  <c:v>Oct 2026</c:v>
                </c:pt>
                <c:pt idx="11">
                  <c:v>Nov 2026</c:v>
                </c:pt>
              </c:strCache>
            </c:strRef>
          </c:cat>
          <c:val>
            <c:numRef>
              <c:f>'📊 Dashboard'!$B$3:$B$14</c:f>
              <c:numCache>
                <c:formatCode>\$#,##0.00;"($"#,##0.00\);\-</c:formatCode>
                <c:ptCount val="1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4760189"/>
        <c:axId val="81789275"/>
      </c:barChart>
      <c:catAx>
        <c:axId val="247601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89275"/>
        <c:crosses val="autoZero"/>
        <c:auto val="1"/>
        <c:lblAlgn val="ctr"/>
        <c:lblOffset val="100"/>
        <c:noMultiLvlLbl val="0"/>
      </c:catAx>
      <c:valAx>
        <c:axId val="817892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601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vs 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Dashboard'!B2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Dashboard'!$A$3:$A$14</c:f>
              <c:strCache>
                <c:ptCount val="12"/>
                <c:pt idx="0">
                  <c:v>Month</c:v>
                </c:pt>
                <c:pt idx="1">
                  <c:v>Jan 2026</c:v>
                </c:pt>
                <c:pt idx="2">
                  <c:v>Feb 2026</c:v>
                </c:pt>
                <c:pt idx="3">
                  <c:v>Mar 2026</c:v>
                </c:pt>
                <c:pt idx="4">
                  <c:v>Apr 2026</c:v>
                </c:pt>
                <c:pt idx="5">
                  <c:v>May 2026</c:v>
                </c:pt>
                <c:pt idx="6">
                  <c:v>Jun 2026</c:v>
                </c:pt>
                <c:pt idx="7">
                  <c:v>Jul 2026</c:v>
                </c:pt>
                <c:pt idx="8">
                  <c:v>Aug 2026</c:v>
                </c:pt>
                <c:pt idx="9">
                  <c:v>Sep 2026</c:v>
                </c:pt>
                <c:pt idx="10">
                  <c:v>Oct 2026</c:v>
                </c:pt>
                <c:pt idx="11">
                  <c:v>Nov 2026</c:v>
                </c:pt>
              </c:strCache>
            </c:strRef>
          </c:cat>
          <c:val>
            <c:numRef>
              <c:f>'📊 Dashboard'!$B$3:$B$14</c:f>
              <c:numCache>
                <c:formatCode>\$#,##0.00;"($"#,##0.00\);\-</c:formatCode>
                <c:ptCount val="1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'📊 Dashboard'!C2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Dashboard'!$A$3:$A$14</c:f>
              <c:strCache>
                <c:ptCount val="12"/>
                <c:pt idx="0">
                  <c:v>Month</c:v>
                </c:pt>
                <c:pt idx="1">
                  <c:v>Jan 2026</c:v>
                </c:pt>
                <c:pt idx="2">
                  <c:v>Feb 2026</c:v>
                </c:pt>
                <c:pt idx="3">
                  <c:v>Mar 2026</c:v>
                </c:pt>
                <c:pt idx="4">
                  <c:v>Apr 2026</c:v>
                </c:pt>
                <c:pt idx="5">
                  <c:v>May 2026</c:v>
                </c:pt>
                <c:pt idx="6">
                  <c:v>Jun 2026</c:v>
                </c:pt>
                <c:pt idx="7">
                  <c:v>Jul 2026</c:v>
                </c:pt>
                <c:pt idx="8">
                  <c:v>Aug 2026</c:v>
                </c:pt>
                <c:pt idx="9">
                  <c:v>Sep 2026</c:v>
                </c:pt>
                <c:pt idx="10">
                  <c:v>Oct 2026</c:v>
                </c:pt>
                <c:pt idx="11">
                  <c:v>Nov 2026</c:v>
                </c:pt>
              </c:strCache>
            </c:strRef>
          </c:cat>
          <c:val>
            <c:numRef>
              <c:f>'📊 Dashboard'!$C$3:$C$14</c:f>
              <c:numCache>
                <c:formatCode>\$#,##0.00;"($"#,##0.00\);\-</c:formatCode>
                <c:ptCount val="1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2976314"/>
        <c:axId val="28355862"/>
      </c:barChart>
      <c:catAx>
        <c:axId val="829763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55862"/>
        <c:crosses val="autoZero"/>
        <c:auto val="1"/>
        <c:lblAlgn val="ctr"/>
        <c:lblOffset val="100"/>
        <c:noMultiLvlLbl val="0"/>
      </c:catAx>
      <c:valAx>
        <c:axId val="283558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763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Spending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'📊 Dashboard'!$F$3:$F$12</c:f>
              <c:strCache>
                <c:ptCount val="10"/>
                <c:pt idx="0">
                  <c:v>Category</c:v>
                </c:pt>
                <c:pt idx="1">
                  <c:v>Food &amp; Dining</c:v>
                </c:pt>
                <c:pt idx="2">
                  <c:v>Gas &amp; Fuel</c:v>
                </c:pt>
                <c:pt idx="3">
                  <c:v>Groceries</c:v>
                </c:pt>
                <c:pt idx="4">
                  <c:v>Shopping</c:v>
                </c:pt>
                <c:pt idx="5">
                  <c:v>Subscriptions</c:v>
                </c:pt>
                <c:pt idx="6">
                  <c:v>Entertainment</c:v>
                </c:pt>
                <c:pt idx="7">
                  <c:v>Healthcare</c:v>
                </c:pt>
                <c:pt idx="8">
                  <c:v>Utilities</c:v>
                </c:pt>
                <c:pt idx="9">
                  <c:v>Travel</c:v>
                </c:pt>
              </c:strCache>
            </c:strRef>
          </c:cat>
          <c:val>
            <c:numRef>
              <c:f>'📊 Dashboard'!$G$3:$G$12</c:f>
              <c:numCache>
                <c:formatCode>\$#,##0.00;"($"#,##0.00\);\-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Income vs 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Dashboard'!B3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Dashboard'!$A$4:$A$15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'📊 Dashboard'!$B$4:$B$15</c:f>
              <c:numCache>
                <c:formatCode>\$#,##0.00;"($"#,##0.00\);\-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'📊 Dashboard'!C3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17a58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Dashboard'!$A$4:$A$15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'📊 Dashboard'!$C$4:$C$15</c:f>
              <c:numCache>
                <c:formatCode>\$#,##0.00;"($"#,##0.00\);\-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54120872"/>
        <c:axId val="81168247"/>
      </c:barChart>
      <c:catAx>
        <c:axId val="541208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168247"/>
        <c:crosses val="autoZero"/>
        <c:auto val="1"/>
        <c:lblAlgn val="ctr"/>
        <c:lblOffset val="100"/>
        <c:noMultiLvlLbl val="0"/>
      </c:catAx>
      <c:valAx>
        <c:axId val="811682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208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Utilisation by Category (% Used)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'📊 Dashboard'!I3</c:f>
              <c:strCache>
                <c:ptCount val="1"/>
                <c:pt idx="0">
                  <c:v>% Used</c:v>
                </c:pt>
              </c:strCache>
            </c:strRef>
          </c:tx>
          <c:spPr>
            <a:solidFill>
              <a:srgbClr val="2e6da4"/>
            </a:solidFill>
            <a:ln w="20160">
              <a:solidFill>
                <a:srgbClr val="2e6da4"/>
              </a:solidFill>
              <a:round/>
            </a:ln>
          </c:spPr>
          <c:marker>
            <c:symbol val="circle"/>
            <c:size val="6"/>
            <c:spPr>
              <a:solidFill>
                <a:srgbClr val="2e6da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Dashboard'!$F$4:$F$13</c:f>
              <c:strCache>
                <c:ptCount val="10"/>
                <c:pt idx="0">
                  <c:v>Food &amp; Dining</c:v>
                </c:pt>
                <c:pt idx="1">
                  <c:v>Gas &amp; Fuel</c:v>
                </c:pt>
                <c:pt idx="2">
                  <c:v>Groceries</c:v>
                </c:pt>
                <c:pt idx="3">
                  <c:v>Shopping</c:v>
                </c:pt>
                <c:pt idx="4">
                  <c:v>Subscriptions</c:v>
                </c:pt>
                <c:pt idx="5">
                  <c:v>Entertainment</c:v>
                </c:pt>
                <c:pt idx="6">
                  <c:v>Healthcare</c:v>
                </c:pt>
                <c:pt idx="7">
                  <c:v>Utilities</c:v>
                </c:pt>
                <c:pt idx="8">
                  <c:v>Travel</c:v>
                </c:pt>
                <c:pt idx="9">
                  <c:v>Other</c:v>
                </c:pt>
              </c:strCache>
            </c:strRef>
          </c:cat>
          <c:val>
            <c:numRef>
              <c:f>'📊 Dashboard'!$I$4:$I$13</c:f>
              <c:numCache>
                <c:formatCode>0.0%;\-0.0%;\-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9215547"/>
        <c:axId val="80952275"/>
      </c:lineChart>
      <c:catAx>
        <c:axId val="92155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52275"/>
        <c:crosses val="autoZero"/>
        <c:auto val="1"/>
        <c:lblAlgn val="ctr"/>
        <c:lblOffset val="100"/>
        <c:noMultiLvlLbl val="0"/>
      </c:catAx>
      <c:valAx>
        <c:axId val="809522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of Budget Used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;\-0.0%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55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6</xdr:col>
      <xdr:colOff>980640</xdr:colOff>
      <xdr:row>33</xdr:row>
      <xdr:rowOff>32400</xdr:rowOff>
    </xdr:to>
    <xdr:graphicFrame>
      <xdr:nvGraphicFramePr>
        <xdr:cNvPr id="0" name="Chart 1"/>
        <xdr:cNvGraphicFramePr/>
      </xdr:nvGraphicFramePr>
      <xdr:xfrm>
        <a:off x="0" y="3343320"/>
        <a:ext cx="6478560" cy="431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15</xdr:row>
      <xdr:rowOff>0</xdr:rowOff>
    </xdr:from>
    <xdr:to>
      <xdr:col>17</xdr:col>
      <xdr:colOff>460800</xdr:colOff>
      <xdr:row>33</xdr:row>
      <xdr:rowOff>32400</xdr:rowOff>
    </xdr:to>
    <xdr:graphicFrame>
      <xdr:nvGraphicFramePr>
        <xdr:cNvPr id="1" name="Chart 2"/>
        <xdr:cNvGraphicFramePr/>
      </xdr:nvGraphicFramePr>
      <xdr:xfrm>
        <a:off x="8176320" y="3343320"/>
        <a:ext cx="6478560" cy="431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32</xdr:row>
      <xdr:rowOff>0</xdr:rowOff>
    </xdr:from>
    <xdr:to>
      <xdr:col>5</xdr:col>
      <xdr:colOff>809280</xdr:colOff>
      <xdr:row>58</xdr:row>
      <xdr:rowOff>85680</xdr:rowOff>
    </xdr:to>
    <xdr:graphicFrame>
      <xdr:nvGraphicFramePr>
        <xdr:cNvPr id="2" name="Chart 3"/>
        <xdr:cNvGraphicFramePr/>
      </xdr:nvGraphicFramePr>
      <xdr:xfrm>
        <a:off x="0" y="7439040"/>
        <a:ext cx="5038560" cy="50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9</xdr:col>
      <xdr:colOff>462240</xdr:colOff>
      <xdr:row>51</xdr:row>
      <xdr:rowOff>85680</xdr:rowOff>
    </xdr:to>
    <xdr:graphicFrame>
      <xdr:nvGraphicFramePr>
        <xdr:cNvPr id="3" name="Chart 4"/>
        <xdr:cNvGraphicFramePr/>
      </xdr:nvGraphicFramePr>
      <xdr:xfrm>
        <a:off x="0" y="6105600"/>
        <a:ext cx="8638560" cy="50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25</xdr:row>
      <xdr:rowOff>0</xdr:rowOff>
    </xdr:from>
    <xdr:to>
      <xdr:col>14</xdr:col>
      <xdr:colOff>508320</xdr:colOff>
      <xdr:row>51</xdr:row>
      <xdr:rowOff>85680</xdr:rowOff>
    </xdr:to>
    <xdr:graphicFrame>
      <xdr:nvGraphicFramePr>
        <xdr:cNvPr id="4" name="Chart 5"/>
        <xdr:cNvGraphicFramePr/>
      </xdr:nvGraphicFramePr>
      <xdr:xfrm>
        <a:off x="4229280" y="6105600"/>
        <a:ext cx="8638560" cy="50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6DA4"/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30"/>
  </cols>
  <sheetData>
    <row r="1" customFormat="false" ht="27.75" hidden="false" customHeight="true" outlineLevel="0" collapsed="false">
      <c r="A1" s="2" t="s">
        <v>0</v>
      </c>
      <c r="B1" s="2" t="s">
        <v>1</v>
      </c>
      <c r="C1" s="3" t="s">
        <v>2</v>
      </c>
    </row>
    <row r="2" customFormat="false" ht="15" hidden="false" customHeight="true" outlineLevel="0" collapsed="false">
      <c r="A2" s="4" t="s">
        <v>3</v>
      </c>
      <c r="B2" s="5" t="n">
        <v>0</v>
      </c>
      <c r="C2" s="6"/>
    </row>
    <row r="3" customFormat="false" ht="15" hidden="false" customHeight="true" outlineLevel="0" collapsed="false">
      <c r="A3" s="7" t="s">
        <v>4</v>
      </c>
      <c r="B3" s="8" t="n">
        <v>0</v>
      </c>
      <c r="C3" s="9"/>
    </row>
    <row r="4" customFormat="false" ht="15" hidden="false" customHeight="true" outlineLevel="0" collapsed="false">
      <c r="A4" s="4" t="s">
        <v>5</v>
      </c>
      <c r="B4" s="5" t="n">
        <v>0</v>
      </c>
      <c r="C4" s="6"/>
    </row>
    <row r="5" customFormat="false" ht="15" hidden="false" customHeight="true" outlineLevel="0" collapsed="false">
      <c r="A5" s="7" t="s">
        <v>6</v>
      </c>
      <c r="B5" s="8" t="n">
        <v>0</v>
      </c>
      <c r="C5" s="9"/>
    </row>
    <row r="6" customFormat="false" ht="15" hidden="false" customHeight="true" outlineLevel="0" collapsed="false">
      <c r="A6" s="4" t="s">
        <v>7</v>
      </c>
      <c r="B6" s="5" t="n">
        <v>0</v>
      </c>
      <c r="C6" s="6"/>
    </row>
    <row r="7" customFormat="false" ht="15" hidden="false" customHeight="true" outlineLevel="0" collapsed="false">
      <c r="A7" s="7" t="s">
        <v>8</v>
      </c>
      <c r="B7" s="8" t="n">
        <v>0</v>
      </c>
      <c r="C7" s="9"/>
    </row>
    <row r="8" customFormat="false" ht="15" hidden="false" customHeight="true" outlineLevel="0" collapsed="false">
      <c r="A8" s="4" t="s">
        <v>9</v>
      </c>
      <c r="B8" s="5" t="n">
        <v>0</v>
      </c>
      <c r="C8" s="6"/>
    </row>
    <row r="9" customFormat="false" ht="15" hidden="false" customHeight="true" outlineLevel="0" collapsed="false">
      <c r="A9" s="7" t="s">
        <v>10</v>
      </c>
      <c r="B9" s="8" t="n">
        <v>0</v>
      </c>
      <c r="C9" s="9"/>
    </row>
    <row r="10" customFormat="false" ht="15" hidden="false" customHeight="true" outlineLevel="0" collapsed="false">
      <c r="A10" s="4" t="s">
        <v>11</v>
      </c>
      <c r="B10" s="5" t="n">
        <v>0</v>
      </c>
      <c r="C10" s="6"/>
    </row>
    <row r="11" customFormat="false" ht="15" hidden="false" customHeight="true" outlineLevel="0" collapsed="false">
      <c r="A11" s="7" t="s">
        <v>12</v>
      </c>
      <c r="B11" s="8" t="n">
        <v>0</v>
      </c>
      <c r="C11" s="9"/>
    </row>
    <row r="12" customFormat="false" ht="25.5" hidden="false" customHeight="true" outlineLevel="0" collapsed="false">
      <c r="A12" s="10" t="s">
        <v>13</v>
      </c>
      <c r="B12" s="11" t="n">
        <f aca="false">SUM(B2:B11)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A589"/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14"/>
    <col collapsed="false" customWidth="true" hidden="false" outlineLevel="0" max="5" min="5" style="1" width="4"/>
    <col collapsed="false" customWidth="true" hidden="false" outlineLevel="0" max="6" min="6" style="1" width="18"/>
    <col collapsed="false" customWidth="true" hidden="false" outlineLevel="0" max="8" min="7" style="1" width="14"/>
    <col collapsed="false" customWidth="true" hidden="false" outlineLevel="0" max="9" min="9" style="1" width="10"/>
    <col collapsed="false" customWidth="true" hidden="false" outlineLevel="0" max="12" min="10" style="1" width="14"/>
  </cols>
  <sheetData>
    <row r="1" customFormat="false" ht="36" hidden="false" customHeight="true" outlineLevel="0" collapsed="false">
      <c r="A1" s="12" t="s">
        <v>14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customFormat="false" ht="25.5" hidden="false" customHeight="true" outlineLevel="0" collapsed="false">
      <c r="A2" s="13" t="s">
        <v>15</v>
      </c>
      <c r="B2" s="13"/>
      <c r="C2" s="13"/>
      <c r="D2" s="13"/>
      <c r="F2" s="14" t="s">
        <v>16</v>
      </c>
      <c r="G2" s="14"/>
      <c r="H2" s="14"/>
      <c r="I2" s="14"/>
      <c r="J2" s="14"/>
      <c r="K2" s="15" t="s">
        <v>17</v>
      </c>
      <c r="L2" s="16"/>
    </row>
    <row r="3" customFormat="false" ht="21.75" hidden="false" customHeight="true" outlineLevel="0" collapsed="false">
      <c r="A3" s="17" t="s">
        <v>18</v>
      </c>
      <c r="B3" s="17" t="s">
        <v>19</v>
      </c>
      <c r="C3" s="17" t="s">
        <v>20</v>
      </c>
      <c r="D3" s="17" t="s">
        <v>21</v>
      </c>
      <c r="F3" s="17" t="s">
        <v>0</v>
      </c>
      <c r="G3" s="17" t="s">
        <v>22</v>
      </c>
      <c r="H3" s="17" t="s">
        <v>23</v>
      </c>
      <c r="I3" s="17" t="s">
        <v>24</v>
      </c>
      <c r="J3" s="17" t="s">
        <v>25</v>
      </c>
    </row>
    <row r="4" customFormat="false" ht="15" hidden="false" customHeight="true" outlineLevel="0" collapsed="false">
      <c r="A4" s="18" t="s">
        <v>26</v>
      </c>
      <c r="B4" s="19" t="n">
        <f aca="true">IF(ISERROR(INDIRECT("'"&amp;A4&amp;"'!I3")),0,ABS(INDIRECT("'"&amp;A4&amp;"'!I3")))</f>
        <v>0</v>
      </c>
      <c r="C4" s="19" t="n">
        <f aca="true">IF(ISERROR(INDIRECT("'"&amp;A4&amp;"'!I2")),0,INDIRECT("'"&amp;A4&amp;"'!I2"))</f>
        <v>0</v>
      </c>
      <c r="D4" s="19" t="n">
        <f aca="false">C4-B4</f>
        <v>0</v>
      </c>
      <c r="F4" s="6" t="s">
        <v>3</v>
      </c>
      <c r="G4" s="19" t="n">
        <f aca="true">IF(ISERROR(SUMIF(INDIRECT("'"&amp;$L$2&amp;"'!D:D"),F4,INDIRECT("'"&amp;$L$2&amp;"'!C:C"))),0,ABS(SUMIF(INDIRECT("'"&amp;$L$2&amp;"'!D:D"),F4,INDIRECT("'"&amp;$L$2&amp;"'!C:C"))))</f>
        <v>0</v>
      </c>
      <c r="H4" s="19" t="n">
        <f aca="false">IFERROR(VLOOKUP(F4,'📋 Budgets'!A:B,2,0),0)</f>
        <v>0</v>
      </c>
      <c r="I4" s="20" t="n">
        <f aca="false">IF(H4=0,0,G4/H4)</f>
        <v>0</v>
      </c>
      <c r="J4" s="18" t="str">
        <f aca="false">IF(H4=0,"No Budget",IF(I4&gt;1,"🔴 Over",IF(I4&gt;0.8,"🟡 Near",IF(I4=0,"⚪ Unused","🟢 OK"))))</f>
        <v>No Budget</v>
      </c>
    </row>
    <row r="5" customFormat="false" ht="15" hidden="false" customHeight="true" outlineLevel="0" collapsed="false">
      <c r="A5" s="21" t="s">
        <v>27</v>
      </c>
      <c r="B5" s="22" t="n">
        <f aca="true">IF(ISERROR(INDIRECT("'"&amp;A5&amp;"'!I3")),0,ABS(INDIRECT("'"&amp;A5&amp;"'!I3")))</f>
        <v>0</v>
      </c>
      <c r="C5" s="22" t="n">
        <f aca="true">IF(ISERROR(INDIRECT("'"&amp;A5&amp;"'!I2")),0,INDIRECT("'"&amp;A5&amp;"'!I2"))</f>
        <v>0</v>
      </c>
      <c r="D5" s="22" t="n">
        <f aca="false">C5-B5</f>
        <v>0</v>
      </c>
      <c r="F5" s="9" t="s">
        <v>4</v>
      </c>
      <c r="G5" s="22" t="n">
        <f aca="true">IF(ISERROR(SUMIF(INDIRECT("'"&amp;$L$2&amp;"'!D:D"),F5,INDIRECT("'"&amp;$L$2&amp;"'!C:C"))),0,ABS(SUMIF(INDIRECT("'"&amp;$L$2&amp;"'!D:D"),F5,INDIRECT("'"&amp;$L$2&amp;"'!C:C"))))</f>
        <v>0</v>
      </c>
      <c r="H5" s="22" t="n">
        <f aca="false">IFERROR(VLOOKUP(F5,'📋 Budgets'!A:B,2,0),0)</f>
        <v>0</v>
      </c>
      <c r="I5" s="23" t="n">
        <f aca="false">IF(H5=0,0,G5/H5)</f>
        <v>0</v>
      </c>
      <c r="J5" s="21" t="str">
        <f aca="false">IF(H5=0,"No Budget",IF(I5&gt;1,"🔴 Over",IF(I5&gt;0.8,"🟡 Near",IF(I5=0,"⚪ Unused","🟢 OK"))))</f>
        <v>No Budget</v>
      </c>
    </row>
    <row r="6" customFormat="false" ht="15" hidden="false" customHeight="true" outlineLevel="0" collapsed="false">
      <c r="A6" s="18" t="s">
        <v>28</v>
      </c>
      <c r="B6" s="19" t="n">
        <f aca="true">IF(ISERROR(INDIRECT("'"&amp;A6&amp;"'!I3")),0,ABS(INDIRECT("'"&amp;A6&amp;"'!I3")))</f>
        <v>0</v>
      </c>
      <c r="C6" s="19" t="n">
        <f aca="true">IF(ISERROR(INDIRECT("'"&amp;A6&amp;"'!I2")),0,INDIRECT("'"&amp;A6&amp;"'!I2"))</f>
        <v>0</v>
      </c>
      <c r="D6" s="19" t="n">
        <f aca="false">C6-B6</f>
        <v>0</v>
      </c>
      <c r="F6" s="6" t="s">
        <v>5</v>
      </c>
      <c r="G6" s="19" t="n">
        <f aca="true">IF(ISERROR(SUMIF(INDIRECT("'"&amp;$L$2&amp;"'!D:D"),F6,INDIRECT("'"&amp;$L$2&amp;"'!C:C"))),0,ABS(SUMIF(INDIRECT("'"&amp;$L$2&amp;"'!D:D"),F6,INDIRECT("'"&amp;$L$2&amp;"'!C:C"))))</f>
        <v>0</v>
      </c>
      <c r="H6" s="19" t="n">
        <f aca="false">IFERROR(VLOOKUP(F6,'📋 Budgets'!A:B,2,0),0)</f>
        <v>0</v>
      </c>
      <c r="I6" s="20" t="n">
        <f aca="false">IF(H6=0,0,G6/H6)</f>
        <v>0</v>
      </c>
      <c r="J6" s="18" t="str">
        <f aca="false">IF(H6=0,"No Budget",IF(I6&gt;1,"🔴 Over",IF(I6&gt;0.8,"🟡 Near",IF(I6=0,"⚪ Unused","🟢 OK"))))</f>
        <v>No Budget</v>
      </c>
    </row>
    <row r="7" customFormat="false" ht="15" hidden="false" customHeight="true" outlineLevel="0" collapsed="false">
      <c r="A7" s="21" t="s">
        <v>29</v>
      </c>
      <c r="B7" s="22" t="n">
        <f aca="true">IF(ISERROR(INDIRECT("'"&amp;A7&amp;"'!I3")),0,ABS(INDIRECT("'"&amp;A7&amp;"'!I3")))</f>
        <v>0</v>
      </c>
      <c r="C7" s="22" t="n">
        <f aca="true">IF(ISERROR(INDIRECT("'"&amp;A7&amp;"'!I2")),0,INDIRECT("'"&amp;A7&amp;"'!I2"))</f>
        <v>0</v>
      </c>
      <c r="D7" s="22" t="n">
        <f aca="false">C7-B7</f>
        <v>0</v>
      </c>
      <c r="F7" s="9" t="s">
        <v>6</v>
      </c>
      <c r="G7" s="22" t="n">
        <f aca="true">IF(ISERROR(SUMIF(INDIRECT("'"&amp;$L$2&amp;"'!D:D"),F7,INDIRECT("'"&amp;$L$2&amp;"'!C:C"))),0,ABS(SUMIF(INDIRECT("'"&amp;$L$2&amp;"'!D:D"),F7,INDIRECT("'"&amp;$L$2&amp;"'!C:C"))))</f>
        <v>0</v>
      </c>
      <c r="H7" s="22" t="n">
        <f aca="false">IFERROR(VLOOKUP(F7,'📋 Budgets'!A:B,2,0),0)</f>
        <v>0</v>
      </c>
      <c r="I7" s="23" t="n">
        <f aca="false">IF(H7=0,0,G7/H7)</f>
        <v>0</v>
      </c>
      <c r="J7" s="21" t="str">
        <f aca="false">IF(H7=0,"No Budget",IF(I7&gt;1,"🔴 Over",IF(I7&gt;0.8,"🟡 Near",IF(I7=0,"⚪ Unused","🟢 OK"))))</f>
        <v>No Budget</v>
      </c>
    </row>
    <row r="8" customFormat="false" ht="15" hidden="false" customHeight="true" outlineLevel="0" collapsed="false">
      <c r="A8" s="18" t="s">
        <v>30</v>
      </c>
      <c r="B8" s="19" t="n">
        <f aca="true">IF(ISERROR(INDIRECT("'"&amp;A8&amp;"'!I3")),0,ABS(INDIRECT("'"&amp;A8&amp;"'!I3")))</f>
        <v>0</v>
      </c>
      <c r="C8" s="19" t="n">
        <f aca="true">IF(ISERROR(INDIRECT("'"&amp;A8&amp;"'!I2")),0,INDIRECT("'"&amp;A8&amp;"'!I2"))</f>
        <v>0</v>
      </c>
      <c r="D8" s="19" t="n">
        <f aca="false">C8-B8</f>
        <v>0</v>
      </c>
      <c r="F8" s="6" t="s">
        <v>7</v>
      </c>
      <c r="G8" s="19" t="n">
        <f aca="true">IF(ISERROR(SUMIF(INDIRECT("'"&amp;$L$2&amp;"'!D:D"),F8,INDIRECT("'"&amp;$L$2&amp;"'!C:C"))),0,ABS(SUMIF(INDIRECT("'"&amp;$L$2&amp;"'!D:D"),F8,INDIRECT("'"&amp;$L$2&amp;"'!C:C"))))</f>
        <v>0</v>
      </c>
      <c r="H8" s="19" t="n">
        <f aca="false">IFERROR(VLOOKUP(F8,'📋 Budgets'!A:B,2,0),0)</f>
        <v>0</v>
      </c>
      <c r="I8" s="20" t="n">
        <f aca="false">IF(H8=0,0,G8/H8)</f>
        <v>0</v>
      </c>
      <c r="J8" s="18" t="str">
        <f aca="false">IF(H8=0,"No Budget",IF(I8&gt;1,"🔴 Over",IF(I8&gt;0.8,"🟡 Near",IF(I8=0,"⚪ Unused","🟢 OK"))))</f>
        <v>No Budget</v>
      </c>
    </row>
    <row r="9" customFormat="false" ht="15" hidden="false" customHeight="true" outlineLevel="0" collapsed="false">
      <c r="A9" s="21" t="s">
        <v>31</v>
      </c>
      <c r="B9" s="22" t="n">
        <f aca="true">IF(ISERROR(INDIRECT("'"&amp;A9&amp;"'!I3")),0,ABS(INDIRECT("'"&amp;A9&amp;"'!I3")))</f>
        <v>0</v>
      </c>
      <c r="C9" s="22" t="n">
        <f aca="true">IF(ISERROR(INDIRECT("'"&amp;A9&amp;"'!I2")),0,INDIRECT("'"&amp;A9&amp;"'!I2"))</f>
        <v>0</v>
      </c>
      <c r="D9" s="22" t="n">
        <f aca="false">C9-B9</f>
        <v>0</v>
      </c>
      <c r="F9" s="9" t="s">
        <v>8</v>
      </c>
      <c r="G9" s="22" t="n">
        <f aca="true">IF(ISERROR(SUMIF(INDIRECT("'"&amp;$L$2&amp;"'!D:D"),F9,INDIRECT("'"&amp;$L$2&amp;"'!C:C"))),0,ABS(SUMIF(INDIRECT("'"&amp;$L$2&amp;"'!D:D"),F9,INDIRECT("'"&amp;$L$2&amp;"'!C:C"))))</f>
        <v>0</v>
      </c>
      <c r="H9" s="22" t="n">
        <f aca="false">IFERROR(VLOOKUP(F9,'📋 Budgets'!A:B,2,0),0)</f>
        <v>0</v>
      </c>
      <c r="I9" s="23" t="n">
        <f aca="false">IF(H9=0,0,G9/H9)</f>
        <v>0</v>
      </c>
      <c r="J9" s="21" t="str">
        <f aca="false">IF(H9=0,"No Budget",IF(I9&gt;1,"🔴 Over",IF(I9&gt;0.8,"🟡 Near",IF(I9=0,"⚪ Unused","🟢 OK"))))</f>
        <v>No Budget</v>
      </c>
    </row>
    <row r="10" customFormat="false" ht="15" hidden="false" customHeight="true" outlineLevel="0" collapsed="false">
      <c r="A10" s="18" t="s">
        <v>32</v>
      </c>
      <c r="B10" s="19" t="n">
        <f aca="true">IF(ISERROR(INDIRECT("'"&amp;A10&amp;"'!I3")),0,ABS(INDIRECT("'"&amp;A10&amp;"'!I3")))</f>
        <v>0</v>
      </c>
      <c r="C10" s="19" t="n">
        <f aca="true">IF(ISERROR(INDIRECT("'"&amp;A10&amp;"'!I2")),0,INDIRECT("'"&amp;A10&amp;"'!I2"))</f>
        <v>0</v>
      </c>
      <c r="D10" s="19" t="n">
        <f aca="false">C10-B10</f>
        <v>0</v>
      </c>
      <c r="F10" s="6" t="s">
        <v>9</v>
      </c>
      <c r="G10" s="19" t="n">
        <f aca="true">IF(ISERROR(SUMIF(INDIRECT("'"&amp;$L$2&amp;"'!D:D"),F10,INDIRECT("'"&amp;$L$2&amp;"'!C:C"))),0,ABS(SUMIF(INDIRECT("'"&amp;$L$2&amp;"'!D:D"),F10,INDIRECT("'"&amp;$L$2&amp;"'!C:C"))))</f>
        <v>0</v>
      </c>
      <c r="H10" s="19" t="n">
        <f aca="false">IFERROR(VLOOKUP(F10,'📋 Budgets'!A:B,2,0),0)</f>
        <v>0</v>
      </c>
      <c r="I10" s="20" t="n">
        <f aca="false">IF(H10=0,0,G10/H10)</f>
        <v>0</v>
      </c>
      <c r="J10" s="18" t="str">
        <f aca="false">IF(H10=0,"No Budget",IF(I10&gt;1,"🔴 Over",IF(I10&gt;0.8,"🟡 Near",IF(I10=0,"⚪ Unused","🟢 OK"))))</f>
        <v>No Budget</v>
      </c>
    </row>
    <row r="11" customFormat="false" ht="15" hidden="false" customHeight="true" outlineLevel="0" collapsed="false">
      <c r="A11" s="21" t="s">
        <v>33</v>
      </c>
      <c r="B11" s="22" t="n">
        <f aca="true">IF(ISERROR(INDIRECT("'"&amp;A11&amp;"'!I3")),0,ABS(INDIRECT("'"&amp;A11&amp;"'!I3")))</f>
        <v>0</v>
      </c>
      <c r="C11" s="22" t="n">
        <f aca="true">IF(ISERROR(INDIRECT("'"&amp;A11&amp;"'!I2")),0,INDIRECT("'"&amp;A11&amp;"'!I2"))</f>
        <v>0</v>
      </c>
      <c r="D11" s="22" t="n">
        <f aca="false">C11-B11</f>
        <v>0</v>
      </c>
      <c r="F11" s="9" t="s">
        <v>10</v>
      </c>
      <c r="G11" s="22" t="n">
        <f aca="true">IF(ISERROR(SUMIF(INDIRECT("'"&amp;$L$2&amp;"'!D:D"),F11,INDIRECT("'"&amp;$L$2&amp;"'!C:C"))),0,ABS(SUMIF(INDIRECT("'"&amp;$L$2&amp;"'!D:D"),F11,INDIRECT("'"&amp;$L$2&amp;"'!C:C"))))</f>
        <v>0</v>
      </c>
      <c r="H11" s="22" t="n">
        <f aca="false">IFERROR(VLOOKUP(F11,'📋 Budgets'!A:B,2,0),0)</f>
        <v>0</v>
      </c>
      <c r="I11" s="23" t="n">
        <f aca="false">IF(H11=0,0,G11/H11)</f>
        <v>0</v>
      </c>
      <c r="J11" s="21" t="str">
        <f aca="false">IF(H11=0,"No Budget",IF(I11&gt;1,"🔴 Over",IF(I11&gt;0.8,"🟡 Near",IF(I11=0,"⚪ Unused","🟢 OK"))))</f>
        <v>No Budget</v>
      </c>
    </row>
    <row r="12" customFormat="false" ht="15" hidden="false" customHeight="true" outlineLevel="0" collapsed="false">
      <c r="A12" s="18" t="s">
        <v>34</v>
      </c>
      <c r="B12" s="19" t="n">
        <f aca="true">IF(ISERROR(INDIRECT("'"&amp;A12&amp;"'!I3")),0,ABS(INDIRECT("'"&amp;A12&amp;"'!I3")))</f>
        <v>0</v>
      </c>
      <c r="C12" s="19" t="n">
        <f aca="true">IF(ISERROR(INDIRECT("'"&amp;A12&amp;"'!I2")),0,INDIRECT("'"&amp;A12&amp;"'!I2"))</f>
        <v>0</v>
      </c>
      <c r="D12" s="19" t="n">
        <f aca="false">C12-B12</f>
        <v>0</v>
      </c>
      <c r="F12" s="6" t="s">
        <v>11</v>
      </c>
      <c r="G12" s="19" t="n">
        <f aca="true">IF(ISERROR(SUMIF(INDIRECT("'"&amp;$L$2&amp;"'!D:D"),F12,INDIRECT("'"&amp;$L$2&amp;"'!C:C"))),0,ABS(SUMIF(INDIRECT("'"&amp;$L$2&amp;"'!D:D"),F12,INDIRECT("'"&amp;$L$2&amp;"'!C:C"))))</f>
        <v>0</v>
      </c>
      <c r="H12" s="19" t="n">
        <f aca="false">IFERROR(VLOOKUP(F12,'📋 Budgets'!A:B,2,0),0)</f>
        <v>0</v>
      </c>
      <c r="I12" s="20" t="n">
        <f aca="false">IF(H12=0,0,G12/H12)</f>
        <v>0</v>
      </c>
      <c r="J12" s="18" t="str">
        <f aca="false">IF(H12=0,"No Budget",IF(I12&gt;1,"🔴 Over",IF(I12&gt;0.8,"🟡 Near",IF(I12=0,"⚪ Unused","🟢 OK"))))</f>
        <v>No Budget</v>
      </c>
    </row>
    <row r="13" customFormat="false" ht="15" hidden="false" customHeight="true" outlineLevel="0" collapsed="false">
      <c r="A13" s="21" t="s">
        <v>35</v>
      </c>
      <c r="B13" s="22" t="n">
        <f aca="true">IF(ISERROR(INDIRECT("'"&amp;A13&amp;"'!I3")),0,ABS(INDIRECT("'"&amp;A13&amp;"'!I3")))</f>
        <v>0</v>
      </c>
      <c r="C13" s="22" t="n">
        <f aca="true">IF(ISERROR(INDIRECT("'"&amp;A13&amp;"'!I2")),0,INDIRECT("'"&amp;A13&amp;"'!I2"))</f>
        <v>0</v>
      </c>
      <c r="D13" s="22" t="n">
        <f aca="false">C13-B13</f>
        <v>0</v>
      </c>
      <c r="F13" s="9" t="s">
        <v>12</v>
      </c>
      <c r="G13" s="22" t="n">
        <f aca="true">IF(ISERROR(SUMIF(INDIRECT("'"&amp;$L$2&amp;"'!D:D"),F13,INDIRECT("'"&amp;$L$2&amp;"'!C:C"))),0,ABS(SUMIF(INDIRECT("'"&amp;$L$2&amp;"'!D:D"),F13,INDIRECT("'"&amp;$L$2&amp;"'!C:C"))))</f>
        <v>0</v>
      </c>
      <c r="H13" s="22" t="n">
        <f aca="false">IFERROR(VLOOKUP(F13,'📋 Budgets'!A:B,2,0),0)</f>
        <v>0</v>
      </c>
      <c r="I13" s="23" t="n">
        <f aca="false">IF(H13=0,0,G13/H13)</f>
        <v>0</v>
      </c>
      <c r="J13" s="21" t="str">
        <f aca="false">IF(H13=0,"No Budget",IF(I13&gt;1,"🔴 Over",IF(I13&gt;0.8,"🟡 Near",IF(I13=0,"⚪ Unused","🟢 OK"))))</f>
        <v>No Budget</v>
      </c>
    </row>
    <row r="14" customFormat="false" ht="15" hidden="false" customHeight="true" outlineLevel="0" collapsed="false">
      <c r="A14" s="18" t="s">
        <v>36</v>
      </c>
      <c r="B14" s="19" t="n">
        <f aca="true">IF(ISERROR(INDIRECT("'"&amp;A14&amp;"'!I3")),0,ABS(INDIRECT("'"&amp;A14&amp;"'!I3")))</f>
        <v>0</v>
      </c>
      <c r="C14" s="19" t="n">
        <f aca="true">IF(ISERROR(INDIRECT("'"&amp;A14&amp;"'!I2")),0,INDIRECT("'"&amp;A14&amp;"'!I2"))</f>
        <v>0</v>
      </c>
      <c r="D14" s="19" t="n">
        <f aca="false">C14-B14</f>
        <v>0</v>
      </c>
      <c r="F14" s="24" t="s">
        <v>37</v>
      </c>
      <c r="G14" s="25" t="n">
        <f aca="false">SUM(G4:G13)</f>
        <v>0</v>
      </c>
      <c r="H14" s="25" t="n">
        <f aca="false">SUM(H4:H13)</f>
        <v>0</v>
      </c>
      <c r="I14" s="26" t="n">
        <f aca="false">IFERROR(G14/H14,0)</f>
        <v>0</v>
      </c>
      <c r="J14" s="17"/>
    </row>
    <row r="15" customFormat="false" ht="15" hidden="false" customHeight="true" outlineLevel="0" collapsed="false">
      <c r="A15" s="21" t="s">
        <v>38</v>
      </c>
      <c r="B15" s="22" t="n">
        <f aca="true">IF(ISERROR(INDIRECT("'"&amp;A15&amp;"'!I3")),0,ABS(INDIRECT("'"&amp;A15&amp;"'!I3")))</f>
        <v>0</v>
      </c>
      <c r="C15" s="22" t="n">
        <f aca="true">IF(ISERROR(INDIRECT("'"&amp;A15&amp;"'!I2")),0,INDIRECT("'"&amp;A15&amp;"'!I2"))</f>
        <v>0</v>
      </c>
      <c r="D15" s="22" t="n">
        <f aca="false">C15-B15</f>
        <v>0</v>
      </c>
    </row>
    <row r="16" customFormat="false" ht="15" hidden="false" customHeight="true" outlineLevel="0" collapsed="false">
      <c r="A16" s="17" t="s">
        <v>39</v>
      </c>
      <c r="B16" s="25" t="n">
        <f aca="false">SUM(B4:B15)</f>
        <v>0</v>
      </c>
      <c r="C16" s="25" t="n">
        <f aca="false">SUM(C4:C15)</f>
        <v>0</v>
      </c>
      <c r="D16" s="25" t="n">
        <f aca="false">C16-B16</f>
        <v>0</v>
      </c>
    </row>
    <row r="17" customFormat="false" ht="15" hidden="false" customHeight="true" outlineLevel="0" collapsed="false">
      <c r="A17" s="27" t="s">
        <v>40</v>
      </c>
      <c r="B17" s="27"/>
      <c r="C17" s="27"/>
      <c r="D17" s="28" t="n">
        <f aca="false">IF(C16=0,0,D16/C16)</f>
        <v>0</v>
      </c>
    </row>
    <row r="19" customFormat="false" ht="27.75" hidden="false" customHeight="true" outlineLevel="0" collapsed="false">
      <c r="A19" s="29" t="s">
        <v>41</v>
      </c>
      <c r="B19" s="29"/>
      <c r="C19" s="29"/>
      <c r="D19" s="29"/>
      <c r="F19" s="30" t="s">
        <v>42</v>
      </c>
      <c r="G19" s="30"/>
      <c r="H19" s="30"/>
      <c r="I19" s="30"/>
      <c r="J19" s="30"/>
    </row>
    <row r="20" customFormat="false" ht="36" hidden="false" customHeight="true" outlineLevel="0" collapsed="false">
      <c r="A20" s="31" t="n">
        <f aca="false">C16</f>
        <v>0</v>
      </c>
      <c r="B20" s="31"/>
      <c r="C20" s="31"/>
      <c r="D20" s="31"/>
      <c r="F20" s="32" t="n">
        <f aca="false">B16</f>
        <v>0</v>
      </c>
      <c r="G20" s="32"/>
      <c r="H20" s="32"/>
      <c r="I20" s="32"/>
      <c r="J20" s="32"/>
    </row>
    <row r="22" customFormat="false" ht="27.75" hidden="false" customHeight="true" outlineLevel="0" collapsed="false">
      <c r="A22" s="33" t="s">
        <v>43</v>
      </c>
      <c r="B22" s="33"/>
      <c r="C22" s="33"/>
      <c r="D22" s="33"/>
      <c r="F22" s="34" t="s">
        <v>44</v>
      </c>
      <c r="G22" s="34"/>
      <c r="H22" s="34"/>
      <c r="I22" s="34"/>
      <c r="J22" s="34"/>
    </row>
    <row r="23" customFormat="false" ht="36" hidden="false" customHeight="true" outlineLevel="0" collapsed="false">
      <c r="A23" s="35" t="n">
        <f aca="false">D16</f>
        <v>0</v>
      </c>
      <c r="B23" s="35"/>
      <c r="C23" s="35"/>
      <c r="D23" s="35"/>
      <c r="F23" s="36" t="n">
        <f aca="false">D17</f>
        <v>0</v>
      </c>
      <c r="G23" s="36"/>
      <c r="H23" s="36"/>
      <c r="I23" s="36"/>
      <c r="J23" s="36"/>
    </row>
  </sheetData>
  <mergeCells count="11">
    <mergeCell ref="A1:L1"/>
    <mergeCell ref="A2:D2"/>
    <mergeCell ref="F2:J2"/>
    <mergeCell ref="A19:D19"/>
    <mergeCell ref="F19:J19"/>
    <mergeCell ref="A20:D20"/>
    <mergeCell ref="F20:J20"/>
    <mergeCell ref="A22:D22"/>
    <mergeCell ref="F22:J22"/>
    <mergeCell ref="A23:D23"/>
    <mergeCell ref="F23:J23"/>
  </mergeCells>
  <conditionalFormatting sqref="I3:I12">
    <cfRule type="cellIs" priority="2" operator="lessThanOrEqual" aboveAverage="0" equalAverage="0" bottom="0" percent="0" rank="0" text="" dxfId="0">
      <formula>0.8</formula>
    </cfRule>
    <cfRule type="cellIs" priority="3" operator="greaterThan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C3C7"/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8" min="8" style="1" width="20"/>
    <col collapsed="false" customWidth="true" hidden="false" outlineLevel="0" max="9" min="9" style="1" width="16"/>
  </cols>
  <sheetData>
    <row r="1" customFormat="false" ht="25.5" hidden="false" customHeight="true" outlineLevel="0" collapsed="false">
      <c r="A1" s="3" t="s">
        <v>45</v>
      </c>
      <c r="B1" s="3" t="s">
        <v>46</v>
      </c>
      <c r="C1" s="3" t="s">
        <v>47</v>
      </c>
      <c r="D1" s="3" t="s">
        <v>0</v>
      </c>
      <c r="E1" s="3" t="s">
        <v>48</v>
      </c>
      <c r="F1" s="3" t="s">
        <v>49</v>
      </c>
      <c r="H1" s="2" t="s">
        <v>50</v>
      </c>
      <c r="I1" s="2"/>
    </row>
    <row r="2" customFormat="false" ht="15" hidden="false" customHeight="true" outlineLevel="0" collapsed="false">
      <c r="A2" s="18"/>
      <c r="B2" s="6"/>
      <c r="C2" s="19"/>
      <c r="D2" s="6"/>
      <c r="E2" s="6"/>
      <c r="F2" s="18"/>
      <c r="H2" s="37" t="s">
        <v>51</v>
      </c>
      <c r="I2" s="38" t="n">
        <f aca="false">SUMIF(F:F,"Income",C:C)</f>
        <v>0</v>
      </c>
    </row>
    <row r="3" customFormat="false" ht="15" hidden="false" customHeight="true" outlineLevel="0" collapsed="false">
      <c r="A3" s="21"/>
      <c r="B3" s="9"/>
      <c r="C3" s="22"/>
      <c r="D3" s="9"/>
      <c r="E3" s="9"/>
      <c r="F3" s="21"/>
      <c r="H3" s="39" t="s">
        <v>52</v>
      </c>
      <c r="I3" s="38" t="n">
        <f aca="false">ABS(SUMIF(F:F,"Expense",C:C))</f>
        <v>0</v>
      </c>
    </row>
    <row r="4" customFormat="false" ht="15" hidden="false" customHeight="true" outlineLevel="0" collapsed="false">
      <c r="A4" s="18"/>
      <c r="B4" s="6"/>
      <c r="C4" s="19"/>
      <c r="D4" s="6"/>
      <c r="E4" s="6"/>
      <c r="F4" s="18"/>
      <c r="H4" s="40" t="s">
        <v>53</v>
      </c>
      <c r="I4" s="38" t="n">
        <f aca="false">I2-I3</f>
        <v>0</v>
      </c>
    </row>
    <row r="5" customFormat="false" ht="15" hidden="false" customHeight="true" outlineLevel="0" collapsed="false">
      <c r="A5" s="21"/>
      <c r="B5" s="9"/>
      <c r="C5" s="22"/>
      <c r="D5" s="9"/>
      <c r="E5" s="9"/>
      <c r="F5" s="21"/>
      <c r="H5" s="41" t="s">
        <v>54</v>
      </c>
      <c r="I5" s="42" t="n">
        <f aca="false">COUNTIF(D:D,"Uncategorized")</f>
        <v>0</v>
      </c>
    </row>
    <row r="6" customFormat="false" ht="15" hidden="false" customHeight="true" outlineLevel="0" collapsed="false">
      <c r="A6" s="18"/>
      <c r="B6" s="6"/>
      <c r="C6" s="19"/>
      <c r="D6" s="6"/>
      <c r="E6" s="6"/>
      <c r="F6" s="18"/>
      <c r="H6" s="43"/>
      <c r="I6" s="43"/>
    </row>
    <row r="7" customFormat="false" ht="15" hidden="false" customHeight="true" outlineLevel="0" collapsed="false">
      <c r="A7" s="21"/>
      <c r="B7" s="9"/>
      <c r="C7" s="22"/>
      <c r="D7" s="9"/>
      <c r="E7" s="9"/>
      <c r="F7" s="21"/>
      <c r="H7" s="44" t="s">
        <v>0</v>
      </c>
      <c r="I7" s="44" t="s">
        <v>55</v>
      </c>
    </row>
    <row r="8" customFormat="false" ht="15" hidden="false" customHeight="true" outlineLevel="0" collapsed="false">
      <c r="A8" s="18"/>
      <c r="B8" s="6"/>
      <c r="C8" s="19"/>
      <c r="D8" s="6"/>
      <c r="E8" s="6"/>
      <c r="F8" s="18"/>
      <c r="H8" s="6" t="s">
        <v>3</v>
      </c>
      <c r="I8" s="19" t="n">
        <f aca="false">ABS(SUMIF(D:D,"Food &amp; Dining",C:C))</f>
        <v>0</v>
      </c>
    </row>
    <row r="9" customFormat="false" ht="15" hidden="false" customHeight="true" outlineLevel="0" collapsed="false">
      <c r="A9" s="21"/>
      <c r="B9" s="9"/>
      <c r="C9" s="22"/>
      <c r="D9" s="9"/>
      <c r="E9" s="9"/>
      <c r="F9" s="21"/>
      <c r="H9" s="9" t="s">
        <v>4</v>
      </c>
      <c r="I9" s="22" t="n">
        <f aca="false">ABS(SUMIF(D:D,"Gas &amp; Fuel",C:C))</f>
        <v>0</v>
      </c>
    </row>
    <row r="10" customFormat="false" ht="15" hidden="false" customHeight="true" outlineLevel="0" collapsed="false">
      <c r="A10" s="18"/>
      <c r="B10" s="6"/>
      <c r="C10" s="19"/>
      <c r="D10" s="6"/>
      <c r="E10" s="6"/>
      <c r="F10" s="18"/>
      <c r="H10" s="6" t="s">
        <v>5</v>
      </c>
      <c r="I10" s="19" t="n">
        <f aca="false">ABS(SUMIF(D:D,"Groceries",C:C))</f>
        <v>0</v>
      </c>
    </row>
    <row r="11" customFormat="false" ht="15" hidden="false" customHeight="true" outlineLevel="0" collapsed="false">
      <c r="A11" s="21"/>
      <c r="B11" s="9"/>
      <c r="C11" s="22"/>
      <c r="D11" s="9"/>
      <c r="E11" s="9"/>
      <c r="F11" s="21"/>
      <c r="H11" s="9" t="s">
        <v>6</v>
      </c>
      <c r="I11" s="22" t="n">
        <f aca="false">ABS(SUMIF(D:D,"Shopping",C:C))</f>
        <v>0</v>
      </c>
    </row>
    <row r="12" customFormat="false" ht="15" hidden="false" customHeight="true" outlineLevel="0" collapsed="false">
      <c r="A12" s="18"/>
      <c r="B12" s="6"/>
      <c r="C12" s="19"/>
      <c r="D12" s="6"/>
      <c r="E12" s="6"/>
      <c r="F12" s="18"/>
      <c r="H12" s="6" t="s">
        <v>7</v>
      </c>
      <c r="I12" s="19" t="n">
        <f aca="false">ABS(SUMIF(D:D,"Subscriptions",C:C))</f>
        <v>0</v>
      </c>
    </row>
    <row r="13" customFormat="false" ht="15" hidden="false" customHeight="true" outlineLevel="0" collapsed="false">
      <c r="A13" s="21"/>
      <c r="B13" s="9"/>
      <c r="C13" s="22"/>
      <c r="D13" s="9"/>
      <c r="E13" s="9"/>
      <c r="F13" s="21"/>
      <c r="H13" s="9" t="s">
        <v>8</v>
      </c>
      <c r="I13" s="22" t="n">
        <f aca="false">ABS(SUMIF(D:D,"Entertainment",C:C))</f>
        <v>0</v>
      </c>
    </row>
    <row r="14" customFormat="false" ht="15" hidden="false" customHeight="true" outlineLevel="0" collapsed="false">
      <c r="A14" s="18"/>
      <c r="B14" s="6"/>
      <c r="C14" s="19"/>
      <c r="D14" s="6"/>
      <c r="E14" s="6"/>
      <c r="F14" s="18"/>
      <c r="H14" s="6" t="s">
        <v>9</v>
      </c>
      <c r="I14" s="19" t="n">
        <f aca="false">ABS(SUMIF(D:D,"Healthcare",C:C))</f>
        <v>0</v>
      </c>
    </row>
    <row r="15" customFormat="false" ht="15" hidden="false" customHeight="true" outlineLevel="0" collapsed="false">
      <c r="A15" s="21"/>
      <c r="B15" s="9"/>
      <c r="C15" s="22"/>
      <c r="D15" s="9"/>
      <c r="E15" s="9"/>
      <c r="F15" s="21"/>
      <c r="H15" s="9" t="s">
        <v>10</v>
      </c>
      <c r="I15" s="22" t="n">
        <f aca="false">ABS(SUMIF(D:D,"Utilities",C:C))</f>
        <v>0</v>
      </c>
    </row>
    <row r="16" customFormat="false" ht="15" hidden="false" customHeight="true" outlineLevel="0" collapsed="false">
      <c r="A16" s="18"/>
      <c r="B16" s="6"/>
      <c r="C16" s="19"/>
      <c r="D16" s="6"/>
      <c r="E16" s="6"/>
      <c r="F16" s="18"/>
      <c r="H16" s="6" t="s">
        <v>11</v>
      </c>
      <c r="I16" s="19" t="n">
        <f aca="false">ABS(SUMIF(D:D,"Travel",C:C))</f>
        <v>0</v>
      </c>
    </row>
    <row r="17" customFormat="false" ht="15" hidden="false" customHeight="true" outlineLevel="0" collapsed="false">
      <c r="A17" s="21"/>
      <c r="B17" s="9"/>
      <c r="C17" s="22"/>
      <c r="D17" s="9"/>
      <c r="E17" s="9"/>
      <c r="F17" s="21"/>
      <c r="H17" s="9" t="s">
        <v>12</v>
      </c>
      <c r="I17" s="22" t="n">
        <f aca="false">ABS(SUMIF(D:D,"Other",C:C))</f>
        <v>0</v>
      </c>
    </row>
    <row r="18" customFormat="false" ht="15" hidden="false" customHeight="true" outlineLevel="0" collapsed="false">
      <c r="A18" s="18"/>
      <c r="B18" s="6"/>
      <c r="C18" s="19"/>
      <c r="D18" s="6"/>
      <c r="E18" s="6"/>
      <c r="F18" s="18"/>
      <c r="H18" s="45" t="s">
        <v>56</v>
      </c>
      <c r="I18" s="46" t="n">
        <f aca="false">SUM(I8:I17)</f>
        <v>0</v>
      </c>
    </row>
    <row r="19" customFormat="false" ht="15" hidden="false" customHeight="true" outlineLevel="0" collapsed="false">
      <c r="A19" s="21"/>
      <c r="B19" s="9"/>
      <c r="C19" s="22"/>
      <c r="D19" s="9"/>
      <c r="E19" s="9"/>
      <c r="F19" s="21"/>
    </row>
    <row r="20" customFormat="false" ht="15" hidden="false" customHeight="true" outlineLevel="0" collapsed="false">
      <c r="A20" s="18"/>
      <c r="B20" s="6"/>
      <c r="C20" s="19"/>
      <c r="D20" s="6"/>
      <c r="E20" s="6"/>
      <c r="F20" s="18"/>
    </row>
    <row r="21" customFormat="false" ht="15" hidden="false" customHeight="true" outlineLevel="0" collapsed="false">
      <c r="A21" s="21"/>
      <c r="B21" s="9"/>
      <c r="C21" s="22"/>
      <c r="D21" s="9"/>
      <c r="E21" s="9"/>
      <c r="F21" s="21"/>
    </row>
    <row r="22" customFormat="false" ht="15" hidden="false" customHeight="true" outlineLevel="0" collapsed="false">
      <c r="A22" s="18"/>
      <c r="B22" s="6"/>
      <c r="C22" s="19"/>
      <c r="D22" s="6"/>
      <c r="E22" s="6"/>
      <c r="F22" s="18"/>
    </row>
    <row r="23" customFormat="false" ht="15" hidden="false" customHeight="true" outlineLevel="0" collapsed="false">
      <c r="A23" s="21"/>
      <c r="B23" s="9"/>
      <c r="C23" s="22"/>
      <c r="D23" s="9"/>
      <c r="E23" s="9"/>
      <c r="F23" s="21"/>
    </row>
    <row r="24" customFormat="false" ht="15" hidden="false" customHeight="true" outlineLevel="0" collapsed="false">
      <c r="A24" s="18"/>
      <c r="B24" s="6"/>
      <c r="C24" s="19"/>
      <c r="D24" s="6"/>
      <c r="E24" s="6"/>
      <c r="F24" s="18"/>
    </row>
    <row r="25" customFormat="false" ht="15" hidden="false" customHeight="true" outlineLevel="0" collapsed="false">
      <c r="A25" s="21"/>
      <c r="B25" s="9"/>
      <c r="C25" s="22"/>
      <c r="D25" s="9"/>
      <c r="E25" s="9"/>
      <c r="F25" s="21"/>
    </row>
    <row r="26" customFormat="false" ht="15" hidden="false" customHeight="true" outlineLevel="0" collapsed="false">
      <c r="A26" s="18"/>
      <c r="B26" s="6"/>
      <c r="C26" s="19"/>
      <c r="D26" s="6"/>
      <c r="E26" s="6"/>
      <c r="F26" s="18"/>
    </row>
    <row r="27" customFormat="false" ht="15" hidden="false" customHeight="true" outlineLevel="0" collapsed="false">
      <c r="A27" s="21"/>
      <c r="B27" s="9"/>
      <c r="C27" s="22"/>
      <c r="D27" s="9"/>
      <c r="E27" s="9"/>
      <c r="F27" s="21"/>
    </row>
    <row r="28" customFormat="false" ht="15" hidden="false" customHeight="true" outlineLevel="0" collapsed="false">
      <c r="A28" s="18"/>
      <c r="B28" s="6"/>
      <c r="C28" s="19"/>
      <c r="D28" s="6"/>
      <c r="E28" s="6"/>
      <c r="F28" s="18"/>
    </row>
    <row r="29" customFormat="false" ht="15" hidden="false" customHeight="true" outlineLevel="0" collapsed="false">
      <c r="A29" s="21"/>
      <c r="B29" s="9"/>
      <c r="C29" s="22"/>
      <c r="D29" s="9"/>
      <c r="E29" s="9"/>
      <c r="F29" s="21"/>
    </row>
    <row r="30" customFormat="false" ht="15" hidden="false" customHeight="true" outlineLevel="0" collapsed="false">
      <c r="A30" s="18"/>
      <c r="B30" s="6"/>
      <c r="C30" s="19"/>
      <c r="D30" s="6"/>
      <c r="E30" s="6"/>
      <c r="F30" s="18"/>
    </row>
    <row r="31" customFormat="false" ht="15" hidden="false" customHeight="true" outlineLevel="0" collapsed="false">
      <c r="A31" s="21"/>
      <c r="B31" s="9"/>
      <c r="C31" s="22"/>
      <c r="D31" s="9"/>
      <c r="E31" s="9"/>
      <c r="F31" s="21"/>
    </row>
    <row r="32" customFormat="false" ht="15" hidden="false" customHeight="true" outlineLevel="0" collapsed="false">
      <c r="A32" s="18"/>
      <c r="B32" s="6"/>
      <c r="C32" s="19"/>
      <c r="D32" s="6"/>
      <c r="E32" s="6"/>
      <c r="F32" s="18"/>
    </row>
    <row r="33" customFormat="false" ht="15" hidden="false" customHeight="true" outlineLevel="0" collapsed="false">
      <c r="A33" s="21"/>
      <c r="B33" s="9"/>
      <c r="C33" s="22"/>
      <c r="D33" s="9"/>
      <c r="E33" s="9"/>
      <c r="F33" s="21"/>
    </row>
    <row r="34" customFormat="false" ht="15" hidden="false" customHeight="true" outlineLevel="0" collapsed="false">
      <c r="A34" s="18"/>
      <c r="B34" s="6"/>
      <c r="C34" s="19"/>
      <c r="D34" s="6"/>
      <c r="E34" s="6"/>
      <c r="F34" s="18"/>
    </row>
    <row r="35" customFormat="false" ht="15" hidden="false" customHeight="true" outlineLevel="0" collapsed="false">
      <c r="A35" s="21"/>
      <c r="B35" s="9"/>
      <c r="C35" s="22"/>
      <c r="D35" s="9"/>
      <c r="E35" s="9"/>
      <c r="F35" s="21"/>
    </row>
    <row r="36" customFormat="false" ht="15" hidden="false" customHeight="true" outlineLevel="0" collapsed="false">
      <c r="A36" s="18"/>
      <c r="B36" s="6"/>
      <c r="C36" s="19"/>
      <c r="D36" s="6"/>
      <c r="E36" s="6"/>
      <c r="F36" s="18"/>
    </row>
    <row r="37" customFormat="false" ht="15" hidden="false" customHeight="true" outlineLevel="0" collapsed="false">
      <c r="A37" s="21"/>
      <c r="B37" s="9"/>
      <c r="C37" s="22"/>
      <c r="D37" s="9"/>
      <c r="E37" s="9"/>
      <c r="F37" s="21"/>
    </row>
    <row r="38" customFormat="false" ht="15" hidden="false" customHeight="true" outlineLevel="0" collapsed="false">
      <c r="A38" s="18"/>
      <c r="B38" s="6"/>
      <c r="C38" s="19"/>
      <c r="D38" s="6"/>
      <c r="E38" s="6"/>
      <c r="F38" s="18"/>
    </row>
    <row r="39" customFormat="false" ht="15" hidden="false" customHeight="true" outlineLevel="0" collapsed="false">
      <c r="A39" s="21"/>
      <c r="B39" s="9"/>
      <c r="C39" s="22"/>
      <c r="D39" s="9"/>
      <c r="E39" s="9"/>
      <c r="F39" s="21"/>
    </row>
    <row r="40" customFormat="false" ht="15" hidden="false" customHeight="true" outlineLevel="0" collapsed="false">
      <c r="A40" s="18"/>
      <c r="B40" s="6"/>
      <c r="C40" s="19"/>
      <c r="D40" s="6"/>
      <c r="E40" s="6"/>
      <c r="F40" s="18"/>
    </row>
    <row r="41" customFormat="false" ht="15" hidden="false" customHeight="true" outlineLevel="0" collapsed="false">
      <c r="A41" s="21"/>
      <c r="B41" s="9"/>
      <c r="C41" s="22"/>
      <c r="D41" s="9"/>
      <c r="E41" s="9"/>
      <c r="F41" s="21"/>
    </row>
    <row r="42" customFormat="false" ht="15" hidden="false" customHeight="true" outlineLevel="0" collapsed="false">
      <c r="A42" s="18"/>
      <c r="B42" s="6"/>
      <c r="C42" s="19"/>
      <c r="D42" s="6"/>
      <c r="E42" s="6"/>
      <c r="F42" s="18"/>
    </row>
    <row r="43" customFormat="false" ht="15" hidden="false" customHeight="true" outlineLevel="0" collapsed="false">
      <c r="A43" s="21"/>
      <c r="B43" s="9"/>
      <c r="C43" s="22"/>
      <c r="D43" s="9"/>
      <c r="E43" s="9"/>
      <c r="F43" s="21"/>
    </row>
    <row r="44" customFormat="false" ht="15" hidden="false" customHeight="true" outlineLevel="0" collapsed="false">
      <c r="A44" s="18"/>
      <c r="B44" s="6"/>
      <c r="C44" s="19"/>
      <c r="D44" s="6"/>
      <c r="E44" s="6"/>
      <c r="F44" s="18"/>
    </row>
    <row r="45" customFormat="false" ht="15" hidden="false" customHeight="true" outlineLevel="0" collapsed="false">
      <c r="A45" s="21"/>
      <c r="B45" s="9"/>
      <c r="C45" s="22"/>
      <c r="D45" s="9"/>
      <c r="E45" s="9"/>
      <c r="F45" s="21"/>
    </row>
    <row r="46" customFormat="false" ht="15" hidden="false" customHeight="true" outlineLevel="0" collapsed="false">
      <c r="A46" s="18"/>
      <c r="B46" s="6"/>
      <c r="C46" s="19"/>
      <c r="D46" s="6"/>
      <c r="E46" s="6"/>
      <c r="F46" s="18"/>
    </row>
    <row r="47" customFormat="false" ht="15" hidden="false" customHeight="true" outlineLevel="0" collapsed="false">
      <c r="A47" s="21"/>
      <c r="B47" s="9"/>
      <c r="C47" s="22"/>
      <c r="D47" s="9"/>
      <c r="E47" s="9"/>
      <c r="F47" s="21"/>
    </row>
    <row r="48" customFormat="false" ht="15" hidden="false" customHeight="true" outlineLevel="0" collapsed="false">
      <c r="A48" s="18"/>
      <c r="B48" s="6"/>
      <c r="C48" s="19"/>
      <c r="D48" s="6"/>
      <c r="E48" s="6"/>
      <c r="F48" s="18"/>
    </row>
    <row r="49" customFormat="false" ht="15" hidden="false" customHeight="true" outlineLevel="0" collapsed="false">
      <c r="A49" s="21"/>
      <c r="B49" s="9"/>
      <c r="C49" s="22"/>
      <c r="D49" s="9"/>
      <c r="E49" s="9"/>
      <c r="F49" s="21"/>
    </row>
    <row r="50" customFormat="false" ht="15" hidden="false" customHeight="true" outlineLevel="0" collapsed="false">
      <c r="A50" s="18"/>
      <c r="B50" s="6"/>
      <c r="C50" s="19"/>
      <c r="D50" s="6"/>
      <c r="E50" s="6"/>
      <c r="F50" s="18"/>
    </row>
  </sheetData>
  <mergeCells count="1">
    <mergeCell ref="H1:I1"/>
  </mergeCells>
  <conditionalFormatting sqref="I5">
    <cfRule type="cellIs" priority="2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8" min="8" style="1" width="20"/>
    <col collapsed="false" customWidth="true" hidden="false" outlineLevel="0" max="9" min="9" style="1" width="16"/>
  </cols>
  <sheetData>
    <row r="1" customFormat="false" ht="25.5" hidden="false" customHeight="true" outlineLevel="0" collapsed="false">
      <c r="A1" s="3" t="s">
        <v>45</v>
      </c>
      <c r="B1" s="3" t="s">
        <v>46</v>
      </c>
      <c r="C1" s="3" t="s">
        <v>47</v>
      </c>
      <c r="D1" s="3" t="s">
        <v>0</v>
      </c>
      <c r="E1" s="3" t="s">
        <v>48</v>
      </c>
      <c r="F1" s="3" t="s">
        <v>49</v>
      </c>
      <c r="H1" s="2" t="s">
        <v>50</v>
      </c>
      <c r="I1" s="2"/>
    </row>
    <row r="2" customFormat="false" ht="15" hidden="false" customHeight="true" outlineLevel="0" collapsed="false">
      <c r="A2" s="18"/>
      <c r="B2" s="6"/>
      <c r="C2" s="19"/>
      <c r="D2" s="6"/>
      <c r="E2" s="6"/>
      <c r="F2" s="18"/>
      <c r="H2" s="37" t="s">
        <v>51</v>
      </c>
      <c r="I2" s="38" t="n">
        <f aca="false">SUMIF(F:F,"Income",C:C)</f>
        <v>0</v>
      </c>
    </row>
    <row r="3" customFormat="false" ht="15" hidden="false" customHeight="true" outlineLevel="0" collapsed="false">
      <c r="A3" s="21"/>
      <c r="B3" s="9"/>
      <c r="C3" s="22"/>
      <c r="D3" s="9"/>
      <c r="E3" s="9"/>
      <c r="F3" s="21"/>
      <c r="H3" s="39" t="s">
        <v>52</v>
      </c>
      <c r="I3" s="38" t="n">
        <f aca="false">ABS(SUMIF(F:F,"Expense",C:C))</f>
        <v>0</v>
      </c>
    </row>
    <row r="4" customFormat="false" ht="15" hidden="false" customHeight="true" outlineLevel="0" collapsed="false">
      <c r="A4" s="18"/>
      <c r="B4" s="6"/>
      <c r="C4" s="19"/>
      <c r="D4" s="6"/>
      <c r="E4" s="6"/>
      <c r="F4" s="18"/>
      <c r="H4" s="40" t="s">
        <v>53</v>
      </c>
      <c r="I4" s="38" t="n">
        <f aca="false">I2-I3</f>
        <v>0</v>
      </c>
    </row>
    <row r="5" customFormat="false" ht="15" hidden="false" customHeight="true" outlineLevel="0" collapsed="false">
      <c r="A5" s="21"/>
      <c r="B5" s="9"/>
      <c r="C5" s="22"/>
      <c r="D5" s="9"/>
      <c r="E5" s="9"/>
      <c r="F5" s="21"/>
      <c r="H5" s="41" t="s">
        <v>54</v>
      </c>
      <c r="I5" s="42" t="n">
        <f aca="false">COUNTIF(D:D,"Uncategorized")</f>
        <v>0</v>
      </c>
    </row>
    <row r="6" customFormat="false" ht="15" hidden="false" customHeight="true" outlineLevel="0" collapsed="false">
      <c r="A6" s="18"/>
      <c r="B6" s="6"/>
      <c r="C6" s="19"/>
      <c r="D6" s="6"/>
      <c r="E6" s="6"/>
      <c r="F6" s="18"/>
      <c r="H6" s="43"/>
      <c r="I6" s="43"/>
    </row>
    <row r="7" customFormat="false" ht="15" hidden="false" customHeight="true" outlineLevel="0" collapsed="false">
      <c r="A7" s="21"/>
      <c r="B7" s="9"/>
      <c r="C7" s="22"/>
      <c r="D7" s="9"/>
      <c r="E7" s="9"/>
      <c r="F7" s="21"/>
      <c r="H7" s="44" t="s">
        <v>0</v>
      </c>
      <c r="I7" s="44" t="s">
        <v>55</v>
      </c>
    </row>
    <row r="8" customFormat="false" ht="15" hidden="false" customHeight="true" outlineLevel="0" collapsed="false">
      <c r="A8" s="18"/>
      <c r="B8" s="6"/>
      <c r="C8" s="19"/>
      <c r="D8" s="6"/>
      <c r="E8" s="6"/>
      <c r="F8" s="18"/>
      <c r="H8" s="6" t="s">
        <v>3</v>
      </c>
      <c r="I8" s="19" t="n">
        <f aca="false">ABS(SUMIF(D:D,"Food &amp; Dining",C:C))</f>
        <v>0</v>
      </c>
    </row>
    <row r="9" customFormat="false" ht="15" hidden="false" customHeight="true" outlineLevel="0" collapsed="false">
      <c r="A9" s="21"/>
      <c r="B9" s="9"/>
      <c r="C9" s="22"/>
      <c r="D9" s="9"/>
      <c r="E9" s="9"/>
      <c r="F9" s="21"/>
      <c r="H9" s="9" t="s">
        <v>4</v>
      </c>
      <c r="I9" s="22" t="n">
        <f aca="false">ABS(SUMIF(D:D,"Gas &amp; Fuel",C:C))</f>
        <v>0</v>
      </c>
    </row>
    <row r="10" customFormat="false" ht="15" hidden="false" customHeight="true" outlineLevel="0" collapsed="false">
      <c r="A10" s="18"/>
      <c r="B10" s="6"/>
      <c r="C10" s="19"/>
      <c r="D10" s="6"/>
      <c r="E10" s="6"/>
      <c r="F10" s="18"/>
      <c r="H10" s="6" t="s">
        <v>5</v>
      </c>
      <c r="I10" s="19" t="n">
        <f aca="false">ABS(SUMIF(D:D,"Groceries",C:C))</f>
        <v>0</v>
      </c>
    </row>
    <row r="11" customFormat="false" ht="15" hidden="false" customHeight="true" outlineLevel="0" collapsed="false">
      <c r="A11" s="21"/>
      <c r="B11" s="9"/>
      <c r="C11" s="22"/>
      <c r="D11" s="9"/>
      <c r="E11" s="9"/>
      <c r="F11" s="21"/>
      <c r="H11" s="9" t="s">
        <v>6</v>
      </c>
      <c r="I11" s="22" t="n">
        <f aca="false">ABS(SUMIF(D:D,"Shopping",C:C))</f>
        <v>0</v>
      </c>
    </row>
    <row r="12" customFormat="false" ht="15" hidden="false" customHeight="true" outlineLevel="0" collapsed="false">
      <c r="A12" s="18"/>
      <c r="B12" s="6"/>
      <c r="C12" s="19"/>
      <c r="D12" s="6"/>
      <c r="E12" s="6"/>
      <c r="F12" s="18"/>
      <c r="H12" s="6" t="s">
        <v>7</v>
      </c>
      <c r="I12" s="19" t="n">
        <f aca="false">ABS(SUMIF(D:D,"Subscriptions",C:C))</f>
        <v>0</v>
      </c>
    </row>
    <row r="13" customFormat="false" ht="15" hidden="false" customHeight="true" outlineLevel="0" collapsed="false">
      <c r="A13" s="21"/>
      <c r="B13" s="9"/>
      <c r="C13" s="22"/>
      <c r="D13" s="9"/>
      <c r="E13" s="9"/>
      <c r="F13" s="21"/>
      <c r="H13" s="9" t="s">
        <v>8</v>
      </c>
      <c r="I13" s="22" t="n">
        <f aca="false">ABS(SUMIF(D:D,"Entertainment",C:C))</f>
        <v>0</v>
      </c>
    </row>
    <row r="14" customFormat="false" ht="15" hidden="false" customHeight="true" outlineLevel="0" collapsed="false">
      <c r="A14" s="18"/>
      <c r="B14" s="6"/>
      <c r="C14" s="19"/>
      <c r="D14" s="6"/>
      <c r="E14" s="6"/>
      <c r="F14" s="18"/>
      <c r="H14" s="6" t="s">
        <v>9</v>
      </c>
      <c r="I14" s="19" t="n">
        <f aca="false">ABS(SUMIF(D:D,"Healthcare",C:C))</f>
        <v>0</v>
      </c>
    </row>
    <row r="15" customFormat="false" ht="15" hidden="false" customHeight="true" outlineLevel="0" collapsed="false">
      <c r="A15" s="21"/>
      <c r="B15" s="9"/>
      <c r="C15" s="22"/>
      <c r="D15" s="9"/>
      <c r="E15" s="9"/>
      <c r="F15" s="21"/>
      <c r="H15" s="9" t="s">
        <v>10</v>
      </c>
      <c r="I15" s="22" t="n">
        <f aca="false">ABS(SUMIF(D:D,"Utilities",C:C))</f>
        <v>0</v>
      </c>
    </row>
    <row r="16" customFormat="false" ht="15" hidden="false" customHeight="true" outlineLevel="0" collapsed="false">
      <c r="A16" s="18"/>
      <c r="B16" s="6"/>
      <c r="C16" s="19"/>
      <c r="D16" s="6"/>
      <c r="E16" s="6"/>
      <c r="F16" s="18"/>
      <c r="H16" s="6" t="s">
        <v>11</v>
      </c>
      <c r="I16" s="19" t="n">
        <f aca="false">ABS(SUMIF(D:D,"Travel",C:C))</f>
        <v>0</v>
      </c>
    </row>
    <row r="17" customFormat="false" ht="15" hidden="false" customHeight="true" outlineLevel="0" collapsed="false">
      <c r="A17" s="21"/>
      <c r="B17" s="9"/>
      <c r="C17" s="22"/>
      <c r="D17" s="9"/>
      <c r="E17" s="9"/>
      <c r="F17" s="21"/>
      <c r="H17" s="9" t="s">
        <v>12</v>
      </c>
      <c r="I17" s="22" t="n">
        <f aca="false">ABS(SUMIF(D:D,"Other",C:C))</f>
        <v>0</v>
      </c>
    </row>
    <row r="18" customFormat="false" ht="15" hidden="false" customHeight="true" outlineLevel="0" collapsed="false">
      <c r="A18" s="18"/>
      <c r="B18" s="6"/>
      <c r="C18" s="19"/>
      <c r="D18" s="6"/>
      <c r="E18" s="6"/>
      <c r="F18" s="18"/>
      <c r="H18" s="45" t="s">
        <v>56</v>
      </c>
      <c r="I18" s="46" t="n">
        <f aca="false">SUM(I8:I17)</f>
        <v>0</v>
      </c>
    </row>
    <row r="19" customFormat="false" ht="15" hidden="false" customHeight="true" outlineLevel="0" collapsed="false">
      <c r="A19" s="21"/>
      <c r="B19" s="9"/>
      <c r="C19" s="22"/>
      <c r="D19" s="9"/>
      <c r="E19" s="9"/>
      <c r="F19" s="21"/>
    </row>
    <row r="20" customFormat="false" ht="15" hidden="false" customHeight="true" outlineLevel="0" collapsed="false">
      <c r="A20" s="18"/>
      <c r="B20" s="6"/>
      <c r="C20" s="19"/>
      <c r="D20" s="6"/>
      <c r="E20" s="6"/>
      <c r="F20" s="18"/>
    </row>
    <row r="21" customFormat="false" ht="15" hidden="false" customHeight="true" outlineLevel="0" collapsed="false">
      <c r="A21" s="21"/>
      <c r="B21" s="9"/>
      <c r="C21" s="22"/>
      <c r="D21" s="9"/>
      <c r="E21" s="9"/>
      <c r="F21" s="21"/>
    </row>
    <row r="22" customFormat="false" ht="15" hidden="false" customHeight="true" outlineLevel="0" collapsed="false">
      <c r="A22" s="18"/>
      <c r="B22" s="6"/>
      <c r="C22" s="19"/>
      <c r="D22" s="6"/>
      <c r="E22" s="6"/>
      <c r="F22" s="18"/>
    </row>
    <row r="23" customFormat="false" ht="15" hidden="false" customHeight="true" outlineLevel="0" collapsed="false">
      <c r="A23" s="21"/>
      <c r="B23" s="9"/>
      <c r="C23" s="22"/>
      <c r="D23" s="9"/>
      <c r="E23" s="9"/>
      <c r="F23" s="21"/>
    </row>
    <row r="24" customFormat="false" ht="15" hidden="false" customHeight="true" outlineLevel="0" collapsed="false">
      <c r="A24" s="18"/>
      <c r="B24" s="6"/>
      <c r="C24" s="19"/>
      <c r="D24" s="6"/>
      <c r="E24" s="6"/>
      <c r="F24" s="18"/>
    </row>
    <row r="25" customFormat="false" ht="15" hidden="false" customHeight="true" outlineLevel="0" collapsed="false">
      <c r="A25" s="21"/>
      <c r="B25" s="9"/>
      <c r="C25" s="22"/>
      <c r="D25" s="9"/>
      <c r="E25" s="9"/>
      <c r="F25" s="21"/>
    </row>
    <row r="26" customFormat="false" ht="15" hidden="false" customHeight="true" outlineLevel="0" collapsed="false">
      <c r="A26" s="18"/>
      <c r="B26" s="6"/>
      <c r="C26" s="19"/>
      <c r="D26" s="6"/>
      <c r="E26" s="6"/>
      <c r="F26" s="18"/>
    </row>
    <row r="27" customFormat="false" ht="15" hidden="false" customHeight="true" outlineLevel="0" collapsed="false">
      <c r="A27" s="21"/>
      <c r="B27" s="9"/>
      <c r="C27" s="22"/>
      <c r="D27" s="9"/>
      <c r="E27" s="9"/>
      <c r="F27" s="21"/>
    </row>
    <row r="28" customFormat="false" ht="15" hidden="false" customHeight="true" outlineLevel="0" collapsed="false">
      <c r="A28" s="18"/>
      <c r="B28" s="6"/>
      <c r="C28" s="19"/>
      <c r="D28" s="6"/>
      <c r="E28" s="6"/>
      <c r="F28" s="18"/>
    </row>
    <row r="29" customFormat="false" ht="15" hidden="false" customHeight="true" outlineLevel="0" collapsed="false">
      <c r="A29" s="21"/>
      <c r="B29" s="9"/>
      <c r="C29" s="22"/>
      <c r="D29" s="9"/>
      <c r="E29" s="9"/>
      <c r="F29" s="21"/>
    </row>
    <row r="30" customFormat="false" ht="15" hidden="false" customHeight="true" outlineLevel="0" collapsed="false">
      <c r="A30" s="18"/>
      <c r="B30" s="6"/>
      <c r="C30" s="19"/>
      <c r="D30" s="6"/>
      <c r="E30" s="6"/>
      <c r="F30" s="18"/>
    </row>
    <row r="31" customFormat="false" ht="15" hidden="false" customHeight="true" outlineLevel="0" collapsed="false">
      <c r="A31" s="21"/>
      <c r="B31" s="9"/>
      <c r="C31" s="22"/>
      <c r="D31" s="9"/>
      <c r="E31" s="9"/>
      <c r="F31" s="21"/>
    </row>
    <row r="32" customFormat="false" ht="15" hidden="false" customHeight="true" outlineLevel="0" collapsed="false">
      <c r="A32" s="18"/>
      <c r="B32" s="6"/>
      <c r="C32" s="19"/>
      <c r="D32" s="6"/>
      <c r="E32" s="6"/>
      <c r="F32" s="18"/>
    </row>
    <row r="33" customFormat="false" ht="15" hidden="false" customHeight="true" outlineLevel="0" collapsed="false">
      <c r="A33" s="21"/>
      <c r="B33" s="9"/>
      <c r="C33" s="22"/>
      <c r="D33" s="9"/>
      <c r="E33" s="9"/>
      <c r="F33" s="21"/>
    </row>
    <row r="34" customFormat="false" ht="15" hidden="false" customHeight="true" outlineLevel="0" collapsed="false">
      <c r="A34" s="18"/>
      <c r="B34" s="6"/>
      <c r="C34" s="19"/>
      <c r="D34" s="6"/>
      <c r="E34" s="6"/>
      <c r="F34" s="18"/>
    </row>
    <row r="35" customFormat="false" ht="15" hidden="false" customHeight="true" outlineLevel="0" collapsed="false">
      <c r="A35" s="21"/>
      <c r="B35" s="9"/>
      <c r="C35" s="22"/>
      <c r="D35" s="9"/>
      <c r="E35" s="9"/>
      <c r="F35" s="21"/>
    </row>
    <row r="36" customFormat="false" ht="15" hidden="false" customHeight="true" outlineLevel="0" collapsed="false">
      <c r="A36" s="18"/>
      <c r="B36" s="6"/>
      <c r="C36" s="19"/>
      <c r="D36" s="6"/>
      <c r="E36" s="6"/>
      <c r="F36" s="18"/>
    </row>
    <row r="37" customFormat="false" ht="15" hidden="false" customHeight="true" outlineLevel="0" collapsed="false">
      <c r="A37" s="21"/>
      <c r="B37" s="9"/>
      <c r="C37" s="22"/>
      <c r="D37" s="9"/>
      <c r="E37" s="9"/>
      <c r="F37" s="21"/>
    </row>
    <row r="38" customFormat="false" ht="15" hidden="false" customHeight="true" outlineLevel="0" collapsed="false">
      <c r="A38" s="18"/>
      <c r="B38" s="6"/>
      <c r="C38" s="19"/>
      <c r="D38" s="6"/>
      <c r="E38" s="6"/>
      <c r="F38" s="18"/>
    </row>
    <row r="39" customFormat="false" ht="15" hidden="false" customHeight="true" outlineLevel="0" collapsed="false">
      <c r="A39" s="21"/>
      <c r="B39" s="9"/>
      <c r="C39" s="22"/>
      <c r="D39" s="9"/>
      <c r="E39" s="9"/>
      <c r="F39" s="21"/>
    </row>
    <row r="40" customFormat="false" ht="15" hidden="false" customHeight="true" outlineLevel="0" collapsed="false">
      <c r="A40" s="18"/>
      <c r="B40" s="6"/>
      <c r="C40" s="19"/>
      <c r="D40" s="6"/>
      <c r="E40" s="6"/>
      <c r="F40" s="18"/>
    </row>
    <row r="41" customFormat="false" ht="15" hidden="false" customHeight="true" outlineLevel="0" collapsed="false">
      <c r="A41" s="21"/>
      <c r="B41" s="9"/>
      <c r="C41" s="22"/>
      <c r="D41" s="9"/>
      <c r="E41" s="9"/>
      <c r="F41" s="21"/>
    </row>
    <row r="42" customFormat="false" ht="15" hidden="false" customHeight="true" outlineLevel="0" collapsed="false">
      <c r="A42" s="18"/>
      <c r="B42" s="6"/>
      <c r="C42" s="19"/>
      <c r="D42" s="6"/>
      <c r="E42" s="6"/>
      <c r="F42" s="18"/>
    </row>
    <row r="43" customFormat="false" ht="15" hidden="false" customHeight="true" outlineLevel="0" collapsed="false">
      <c r="A43" s="21"/>
      <c r="B43" s="9"/>
      <c r="C43" s="22"/>
      <c r="D43" s="9"/>
      <c r="E43" s="9"/>
      <c r="F43" s="21"/>
    </row>
    <row r="44" customFormat="false" ht="15" hidden="false" customHeight="true" outlineLevel="0" collapsed="false">
      <c r="A44" s="18"/>
      <c r="B44" s="6"/>
      <c r="C44" s="19"/>
      <c r="D44" s="6"/>
      <c r="E44" s="6"/>
      <c r="F44" s="18"/>
    </row>
    <row r="45" customFormat="false" ht="15" hidden="false" customHeight="true" outlineLevel="0" collapsed="false">
      <c r="A45" s="21"/>
      <c r="B45" s="9"/>
      <c r="C45" s="22"/>
      <c r="D45" s="9"/>
      <c r="E45" s="9"/>
      <c r="F45" s="21"/>
    </row>
    <row r="46" customFormat="false" ht="15" hidden="false" customHeight="true" outlineLevel="0" collapsed="false">
      <c r="A46" s="18"/>
      <c r="B46" s="6"/>
      <c r="C46" s="19"/>
      <c r="D46" s="6"/>
      <c r="E46" s="6"/>
      <c r="F46" s="18"/>
    </row>
    <row r="47" customFormat="false" ht="15" hidden="false" customHeight="true" outlineLevel="0" collapsed="false">
      <c r="A47" s="21"/>
      <c r="B47" s="9"/>
      <c r="C47" s="22"/>
      <c r="D47" s="9"/>
      <c r="E47" s="9"/>
      <c r="F47" s="21"/>
    </row>
    <row r="48" customFormat="false" ht="15" hidden="false" customHeight="true" outlineLevel="0" collapsed="false">
      <c r="A48" s="18"/>
      <c r="B48" s="6"/>
      <c r="C48" s="19"/>
      <c r="D48" s="6"/>
      <c r="E48" s="6"/>
      <c r="F48" s="18"/>
    </row>
    <row r="49" customFormat="false" ht="15" hidden="false" customHeight="true" outlineLevel="0" collapsed="false">
      <c r="A49" s="21"/>
      <c r="B49" s="9"/>
      <c r="C49" s="22"/>
      <c r="D49" s="9"/>
      <c r="E49" s="9"/>
      <c r="F49" s="21"/>
    </row>
    <row r="50" customFormat="false" ht="15" hidden="false" customHeight="true" outlineLevel="0" collapsed="false">
      <c r="A50" s="18"/>
      <c r="B50" s="6"/>
      <c r="C50" s="19"/>
      <c r="D50" s="6"/>
      <c r="E50" s="6"/>
      <c r="F50" s="18"/>
    </row>
  </sheetData>
  <mergeCells count="1">
    <mergeCell ref="H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2026-06-05T03:27:23Z</dcterms:created>
  <dc:creator>openpyxl</dc:creator>
  <dc:description/>
  <dc:language>en-US</dc:language>
  <cp:lastModifiedBy/>
  <dcterms:modified xsi:type="dcterms:W3CDTF">2026-06-06T13:08:13Z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