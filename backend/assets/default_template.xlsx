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Budgets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_template" sheetId="3" state="hidden" r:id="rId3"/>
    <sheet xmlns:r="http://schemas.openxmlformats.org/officeDocument/2006/relationships" name="Jan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Dashboard'!$A$3:$A$14</f>
            </numRef>
          </cat>
          <val>
            <numRef>
              <f>'📊 Dashboard'!$B$3:$B$14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Dashboard'!$A$3:$A$14</f>
            </numRef>
          </cat>
          <val>
            <numRef>
              <f>'📊 Dashboard'!$B$3:$B$14</f>
            </numRef>
          </val>
        </ser>
        <ser>
          <idx val="1"/>
          <order val="1"/>
          <tx>
            <strRef>
              <f>'📊 Dashboard'!C2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Dashboard'!$A$3:$A$14</f>
            </numRef>
          </cat>
          <val>
            <numRef>
              <f>'📊 Dashboard'!$C$3:$C$14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 by Category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'📊 Dashboard'!$F$3:$F$12</f>
            </numRef>
          </cat>
          <val>
            <numRef>
              <f>'📊 Dashboard'!$G$3:$G$12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32</row>
      <rowOff>0</rowOff>
    </from>
    <ext cx="504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Category</t>
        </is>
      </c>
      <c r="B1" s="1" t="inlineStr">
        <is>
          <t>Monthly Budget</t>
        </is>
      </c>
    </row>
    <row r="2">
      <c r="A2" t="inlineStr">
        <is>
          <t>Food &amp; Dining</t>
        </is>
      </c>
      <c r="B2" t="n">
        <v>0</v>
      </c>
    </row>
    <row r="3">
      <c r="A3" t="inlineStr">
        <is>
          <t>Gas &amp; Fuel</t>
        </is>
      </c>
      <c r="B3" t="n">
        <v>0</v>
      </c>
    </row>
    <row r="4">
      <c r="A4" t="inlineStr">
        <is>
          <t>Groceries</t>
        </is>
      </c>
      <c r="B4" t="n">
        <v>0</v>
      </c>
    </row>
    <row r="5">
      <c r="A5" t="inlineStr">
        <is>
          <t>Shopping</t>
        </is>
      </c>
      <c r="B5" t="n">
        <v>0</v>
      </c>
    </row>
    <row r="6">
      <c r="A6" t="inlineStr">
        <is>
          <t>Subscriptions</t>
        </is>
      </c>
      <c r="B6" t="n">
        <v>0</v>
      </c>
    </row>
    <row r="7">
      <c r="A7" t="inlineStr">
        <is>
          <t>Entertainment</t>
        </is>
      </c>
      <c r="B7" t="n">
        <v>0</v>
      </c>
    </row>
    <row r="8">
      <c r="A8" t="inlineStr">
        <is>
          <t>Healthcare</t>
        </is>
      </c>
      <c r="B8" t="n">
        <v>0</v>
      </c>
    </row>
    <row r="9">
      <c r="A9" t="inlineStr">
        <is>
          <t>Utilities</t>
        </is>
      </c>
      <c r="B9" t="n">
        <v>0</v>
      </c>
    </row>
    <row r="10">
      <c r="A10" t="inlineStr">
        <is>
          <t>Travel</t>
        </is>
      </c>
      <c r="B10" t="n">
        <v>0</v>
      </c>
    </row>
    <row r="11">
      <c r="A11" t="inlineStr">
        <is>
          <t>Other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20" customWidth="1" min="6" max="6"/>
    <col width="14" customWidth="1" min="7" max="7"/>
    <col width="12" customWidth="1" min="8" max="8"/>
    <col width="10" customWidth="1" min="9" max="9"/>
    <col width="16" customWidth="1" min="11" max="11"/>
    <col width="12" customWidth="1" min="12" max="12"/>
  </cols>
  <sheetData>
    <row r="1">
      <c r="A1" s="2" t="inlineStr">
        <is>
          <t>Year Summary</t>
        </is>
      </c>
      <c r="F1" s="2" t="inlineStr">
        <is>
          <t>Budget Progress</t>
        </is>
      </c>
      <c r="K1" t="inlineStr">
        <is>
          <t>Viewing month:</t>
        </is>
      </c>
      <c r="L1" s="3" t="inlineStr">
        <is>
          <t>Jan 2026</t>
        </is>
      </c>
    </row>
    <row r="2">
      <c r="A2" s="1" t="inlineStr">
        <is>
          <t>Month</t>
        </is>
      </c>
      <c r="B2" s="1" t="inlineStr">
        <is>
          <t>Expenses</t>
        </is>
      </c>
      <c r="C2" s="1" t="inlineStr">
        <is>
          <t>Income</t>
        </is>
      </c>
      <c r="D2" s="1" t="inlineStr">
        <is>
          <t>Net</t>
        </is>
      </c>
      <c r="F2" s="1" t="inlineStr">
        <is>
          <t>Category</t>
        </is>
      </c>
      <c r="G2" s="1" t="inlineStr">
        <is>
          <t>Spent</t>
        </is>
      </c>
      <c r="H2" s="1" t="inlineStr">
        <is>
          <t>Budget</t>
        </is>
      </c>
      <c r="I2" s="1" t="inlineStr">
        <is>
          <t>% Used</t>
        </is>
      </c>
    </row>
    <row r="3">
      <c r="A3" t="inlineStr">
        <is>
          <t>Jan 2026</t>
        </is>
      </c>
      <c r="B3">
        <f>IFERROR(INDIRECT("'"&amp;A3&amp;"'!I3"),0)</f>
        <v/>
      </c>
      <c r="C3">
        <f>IFERROR(INDIRECT("'"&amp;A3&amp;"'!I2"),0)</f>
        <v/>
      </c>
      <c r="D3">
        <f>C3-B3</f>
        <v/>
      </c>
      <c r="F3" t="inlineStr">
        <is>
          <t>Food &amp; Dining</t>
        </is>
      </c>
      <c r="G3">
        <f>IFERROR(SUMIF(INDIRECT("'"&amp;$L$1&amp;"'!H:H"),F3,INDIRECT("'"&amp;$L$1&amp;"'!I:I")),0)</f>
        <v/>
      </c>
      <c r="H3">
        <f>IFERROR(VLOOKUP(F3,'📋 Budgets'!A:B,2,0),0)</f>
        <v/>
      </c>
      <c r="I3">
        <f>IFERROR(ABS(G3)/H3,0)</f>
        <v/>
      </c>
    </row>
    <row r="4">
      <c r="A4" t="inlineStr">
        <is>
          <t>Feb 2026</t>
        </is>
      </c>
      <c r="B4">
        <f>IFERROR(INDIRECT("'"&amp;A4&amp;"'!I3"),0)</f>
        <v/>
      </c>
      <c r="C4">
        <f>IFERROR(INDIRECT("'"&amp;A4&amp;"'!I2"),0)</f>
        <v/>
      </c>
      <c r="D4">
        <f>C4-B4</f>
        <v/>
      </c>
      <c r="F4" t="inlineStr">
        <is>
          <t>Gas &amp; Fuel</t>
        </is>
      </c>
      <c r="G4">
        <f>IFERROR(SUMIF(INDIRECT("'"&amp;$L$1&amp;"'!H:H"),F4,INDIRECT("'"&amp;$L$1&amp;"'!I:I")),0)</f>
        <v/>
      </c>
      <c r="H4">
        <f>IFERROR(VLOOKUP(F4,'📋 Budgets'!A:B,2,0),0)</f>
        <v/>
      </c>
      <c r="I4">
        <f>IFERROR(ABS(G4)/H4,0)</f>
        <v/>
      </c>
    </row>
    <row r="5">
      <c r="A5" t="inlineStr">
        <is>
          <t>Mar 2026</t>
        </is>
      </c>
      <c r="B5">
        <f>IFERROR(INDIRECT("'"&amp;A5&amp;"'!I3"),0)</f>
        <v/>
      </c>
      <c r="C5">
        <f>IFERROR(INDIRECT("'"&amp;A5&amp;"'!I2"),0)</f>
        <v/>
      </c>
      <c r="D5">
        <f>C5-B5</f>
        <v/>
      </c>
      <c r="F5" t="inlineStr">
        <is>
          <t>Groceries</t>
        </is>
      </c>
      <c r="G5">
        <f>IFERROR(SUMIF(INDIRECT("'"&amp;$L$1&amp;"'!H:H"),F5,INDIRECT("'"&amp;$L$1&amp;"'!I:I")),0)</f>
        <v/>
      </c>
      <c r="H5">
        <f>IFERROR(VLOOKUP(F5,'📋 Budgets'!A:B,2,0),0)</f>
        <v/>
      </c>
      <c r="I5">
        <f>IFERROR(ABS(G5)/H5,0)</f>
        <v/>
      </c>
    </row>
    <row r="6">
      <c r="A6" t="inlineStr">
        <is>
          <t>Apr 2026</t>
        </is>
      </c>
      <c r="B6">
        <f>IFERROR(INDIRECT("'"&amp;A6&amp;"'!I3"),0)</f>
        <v/>
      </c>
      <c r="C6">
        <f>IFERROR(INDIRECT("'"&amp;A6&amp;"'!I2"),0)</f>
        <v/>
      </c>
      <c r="D6">
        <f>C6-B6</f>
        <v/>
      </c>
      <c r="F6" t="inlineStr">
        <is>
          <t>Shopping</t>
        </is>
      </c>
      <c r="G6">
        <f>IFERROR(SUMIF(INDIRECT("'"&amp;$L$1&amp;"'!H:H"),F6,INDIRECT("'"&amp;$L$1&amp;"'!I:I")),0)</f>
        <v/>
      </c>
      <c r="H6">
        <f>IFERROR(VLOOKUP(F6,'📋 Budgets'!A:B,2,0),0)</f>
        <v/>
      </c>
      <c r="I6">
        <f>IFERROR(ABS(G6)/H6,0)</f>
        <v/>
      </c>
    </row>
    <row r="7">
      <c r="A7" t="inlineStr">
        <is>
          <t>May 2026</t>
        </is>
      </c>
      <c r="B7">
        <f>IFERROR(INDIRECT("'"&amp;A7&amp;"'!I3"),0)</f>
        <v/>
      </c>
      <c r="C7">
        <f>IFERROR(INDIRECT("'"&amp;A7&amp;"'!I2"),0)</f>
        <v/>
      </c>
      <c r="D7">
        <f>C7-B7</f>
        <v/>
      </c>
      <c r="F7" t="inlineStr">
        <is>
          <t>Subscriptions</t>
        </is>
      </c>
      <c r="G7">
        <f>IFERROR(SUMIF(INDIRECT("'"&amp;$L$1&amp;"'!H:H"),F7,INDIRECT("'"&amp;$L$1&amp;"'!I:I")),0)</f>
        <v/>
      </c>
      <c r="H7">
        <f>IFERROR(VLOOKUP(F7,'📋 Budgets'!A:B,2,0),0)</f>
        <v/>
      </c>
      <c r="I7">
        <f>IFERROR(ABS(G7)/H7,0)</f>
        <v/>
      </c>
    </row>
    <row r="8">
      <c r="A8" t="inlineStr">
        <is>
          <t>Jun 2026</t>
        </is>
      </c>
      <c r="B8">
        <f>IFERROR(INDIRECT("'"&amp;A8&amp;"'!I3"),0)</f>
        <v/>
      </c>
      <c r="C8">
        <f>IFERROR(INDIRECT("'"&amp;A8&amp;"'!I2"),0)</f>
        <v/>
      </c>
      <c r="D8">
        <f>C8-B8</f>
        <v/>
      </c>
      <c r="F8" t="inlineStr">
        <is>
          <t>Entertainment</t>
        </is>
      </c>
      <c r="G8">
        <f>IFERROR(SUMIF(INDIRECT("'"&amp;$L$1&amp;"'!H:H"),F8,INDIRECT("'"&amp;$L$1&amp;"'!I:I")),0)</f>
        <v/>
      </c>
      <c r="H8">
        <f>IFERROR(VLOOKUP(F8,'📋 Budgets'!A:B,2,0),0)</f>
        <v/>
      </c>
      <c r="I8">
        <f>IFERROR(ABS(G8)/H8,0)</f>
        <v/>
      </c>
    </row>
    <row r="9">
      <c r="A9" t="inlineStr">
        <is>
          <t>Jul 2026</t>
        </is>
      </c>
      <c r="B9">
        <f>IFERROR(INDIRECT("'"&amp;A9&amp;"'!I3"),0)</f>
        <v/>
      </c>
      <c r="C9">
        <f>IFERROR(INDIRECT("'"&amp;A9&amp;"'!I2"),0)</f>
        <v/>
      </c>
      <c r="D9">
        <f>C9-B9</f>
        <v/>
      </c>
      <c r="F9" t="inlineStr">
        <is>
          <t>Healthcare</t>
        </is>
      </c>
      <c r="G9">
        <f>IFERROR(SUMIF(INDIRECT("'"&amp;$L$1&amp;"'!H:H"),F9,INDIRECT("'"&amp;$L$1&amp;"'!I:I")),0)</f>
        <v/>
      </c>
      <c r="H9">
        <f>IFERROR(VLOOKUP(F9,'📋 Budgets'!A:B,2,0),0)</f>
        <v/>
      </c>
      <c r="I9">
        <f>IFERROR(ABS(G9)/H9,0)</f>
        <v/>
      </c>
    </row>
    <row r="10">
      <c r="A10" t="inlineStr">
        <is>
          <t>Aug 2026</t>
        </is>
      </c>
      <c r="B10">
        <f>IFERROR(INDIRECT("'"&amp;A10&amp;"'!I3"),0)</f>
        <v/>
      </c>
      <c r="C10">
        <f>IFERROR(INDIRECT("'"&amp;A10&amp;"'!I2"),0)</f>
        <v/>
      </c>
      <c r="D10">
        <f>C10-B10</f>
        <v/>
      </c>
      <c r="F10" t="inlineStr">
        <is>
          <t>Utilities</t>
        </is>
      </c>
      <c r="G10">
        <f>IFERROR(SUMIF(INDIRECT("'"&amp;$L$1&amp;"'!H:H"),F10,INDIRECT("'"&amp;$L$1&amp;"'!I:I")),0)</f>
        <v/>
      </c>
      <c r="H10">
        <f>IFERROR(VLOOKUP(F10,'📋 Budgets'!A:B,2,0),0)</f>
        <v/>
      </c>
      <c r="I10">
        <f>IFERROR(ABS(G10)/H10,0)</f>
        <v/>
      </c>
    </row>
    <row r="11">
      <c r="A11" t="inlineStr">
        <is>
          <t>Sep 2026</t>
        </is>
      </c>
      <c r="B11">
        <f>IFERROR(INDIRECT("'"&amp;A11&amp;"'!I3"),0)</f>
        <v/>
      </c>
      <c r="C11">
        <f>IFERROR(INDIRECT("'"&amp;A11&amp;"'!I2"),0)</f>
        <v/>
      </c>
      <c r="D11">
        <f>C11-B11</f>
        <v/>
      </c>
      <c r="F11" t="inlineStr">
        <is>
          <t>Travel</t>
        </is>
      </c>
      <c r="G11">
        <f>IFERROR(SUMIF(INDIRECT("'"&amp;$L$1&amp;"'!H:H"),F11,INDIRECT("'"&amp;$L$1&amp;"'!I:I")),0)</f>
        <v/>
      </c>
      <c r="H11">
        <f>IFERROR(VLOOKUP(F11,'📋 Budgets'!A:B,2,0),0)</f>
        <v/>
      </c>
      <c r="I11">
        <f>IFERROR(ABS(G11)/H11,0)</f>
        <v/>
      </c>
    </row>
    <row r="12">
      <c r="A12" t="inlineStr">
        <is>
          <t>Oct 2026</t>
        </is>
      </c>
      <c r="B12">
        <f>IFERROR(INDIRECT("'"&amp;A12&amp;"'!I3"),0)</f>
        <v/>
      </c>
      <c r="C12">
        <f>IFERROR(INDIRECT("'"&amp;A12&amp;"'!I2"),0)</f>
        <v/>
      </c>
      <c r="D12">
        <f>C12-B12</f>
        <v/>
      </c>
      <c r="F12" t="inlineStr">
        <is>
          <t>Other</t>
        </is>
      </c>
      <c r="G12">
        <f>IFERROR(SUMIF(INDIRECT("'"&amp;$L$1&amp;"'!H:H"),F12,INDIRECT("'"&amp;$L$1&amp;"'!I:I")),0)</f>
        <v/>
      </c>
      <c r="H12">
        <f>IFERROR(VLOOKUP(F12,'📋 Budgets'!A:B,2,0),0)</f>
        <v/>
      </c>
      <c r="I12">
        <f>IFERROR(ABS(G12)/H12,0)</f>
        <v/>
      </c>
    </row>
    <row r="13">
      <c r="A13" t="inlineStr">
        <is>
          <t>Nov 2026</t>
        </is>
      </c>
      <c r="B13">
        <f>IFERROR(INDIRECT("'"&amp;A13&amp;"'!I3"),0)</f>
        <v/>
      </c>
      <c r="C13">
        <f>IFERROR(INDIRECT("'"&amp;A13&amp;"'!I2"),0)</f>
        <v/>
      </c>
      <c r="D13">
        <f>C13-B13</f>
        <v/>
      </c>
    </row>
    <row r="14">
      <c r="A14" t="inlineStr">
        <is>
          <t>Dec 2026</t>
        </is>
      </c>
      <c r="B14">
        <f>IFERROR(INDIRECT("'"&amp;A14&amp;"'!I3"),0)</f>
        <v/>
      </c>
      <c r="C14">
        <f>IFERROR(INDIRECT("'"&amp;A14&amp;"'!I2"),0)</f>
        <v/>
      </c>
      <c r="D14">
        <f>C14-B14</f>
        <v/>
      </c>
    </row>
  </sheetData>
  <conditionalFormatting sqref="I3:I12">
    <cfRule type="cellIs" priority="1" operator="lessThanOrEqual" dxfId="0">
      <formula>0.8</formula>
    </cfRule>
    <cfRule type="cellIs" priority="2" operator="greaterThan" dxfId="1">
      <formula>1.0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0" customWidth="1" min="4" max="4"/>
    <col width="10" customWidth="1" min="5" max="5"/>
    <col width="20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Type</t>
        </is>
      </c>
      <c r="H1" s="1" t="inlineStr">
        <is>
          <t>📊 Monthly Summary</t>
        </is>
      </c>
    </row>
    <row r="2">
      <c r="H2" t="inlineStr">
        <is>
          <t>Total Income</t>
        </is>
      </c>
      <c r="I2">
        <f>SUMIF(E:E,"Income",C:C)</f>
        <v/>
      </c>
    </row>
    <row r="3">
      <c r="H3" t="inlineStr">
        <is>
          <t>Total Expenses</t>
        </is>
      </c>
      <c r="I3">
        <f>SUMIF(E:E,"Expense",C:C)</f>
        <v/>
      </c>
    </row>
    <row r="4">
      <c r="H4" t="inlineStr">
        <is>
          <t>Net Balance</t>
        </is>
      </c>
      <c r="I4">
        <f>I2-I3</f>
        <v/>
      </c>
    </row>
    <row r="5">
      <c r="H5" t="inlineStr">
        <is>
          <t>Uncategorized</t>
        </is>
      </c>
      <c r="I5">
        <f>COUNTIF(D:D,"Uncategorized")</f>
        <v/>
      </c>
    </row>
    <row r="7">
      <c r="H7" s="1" t="inlineStr">
        <is>
          <t>Category</t>
        </is>
      </c>
      <c r="I7" s="1" t="inlineStr">
        <is>
          <t>Subtotal</t>
        </is>
      </c>
    </row>
    <row r="8">
      <c r="H8" t="inlineStr">
        <is>
          <t>Food &amp; Dining</t>
        </is>
      </c>
      <c r="I8">
        <f>SUMIF(D:D,"Food &amp; Dining",C:C)</f>
        <v/>
      </c>
    </row>
    <row r="9">
      <c r="H9" t="inlineStr">
        <is>
          <t>Gas &amp; Fuel</t>
        </is>
      </c>
      <c r="I9">
        <f>SUMIF(D:D,"Gas &amp; Fuel",C:C)</f>
        <v/>
      </c>
    </row>
    <row r="10">
      <c r="H10" t="inlineStr">
        <is>
          <t>Groceries</t>
        </is>
      </c>
      <c r="I10">
        <f>SUMIF(D:D,"Groceries",C:C)</f>
        <v/>
      </c>
    </row>
    <row r="11">
      <c r="H11" t="inlineStr">
        <is>
          <t>Shopping</t>
        </is>
      </c>
      <c r="I11">
        <f>SUMIF(D:D,"Shopping",C:C)</f>
        <v/>
      </c>
    </row>
    <row r="12">
      <c r="H12" t="inlineStr">
        <is>
          <t>Subscriptions</t>
        </is>
      </c>
      <c r="I12">
        <f>SUMIF(D:D,"Subscriptions",C:C)</f>
        <v/>
      </c>
    </row>
    <row r="13">
      <c r="H13" t="inlineStr">
        <is>
          <t>Entertainment</t>
        </is>
      </c>
      <c r="I13">
        <f>SUMIF(D:D,"Entertainment",C:C)</f>
        <v/>
      </c>
    </row>
    <row r="14">
      <c r="H14" t="inlineStr">
        <is>
          <t>Healthcare</t>
        </is>
      </c>
      <c r="I14">
        <f>SUMIF(D:D,"Healthcare",C:C)</f>
        <v/>
      </c>
    </row>
    <row r="15">
      <c r="H15" t="inlineStr">
        <is>
          <t>Utilities</t>
        </is>
      </c>
      <c r="I15">
        <f>SUMIF(D:D,"Utilities",C:C)</f>
        <v/>
      </c>
    </row>
    <row r="16">
      <c r="H16" t="inlineStr">
        <is>
          <t>Travel</t>
        </is>
      </c>
      <c r="I16">
        <f>SUMIF(D:D,"Travel",C:C)</f>
        <v/>
      </c>
    </row>
    <row r="17">
      <c r="H17" t="inlineStr">
        <is>
          <t>Other</t>
        </is>
      </c>
      <c r="I17">
        <f>SUMIF(D:D,"Other",C:C)</f>
        <v/>
      </c>
    </row>
  </sheetData>
  <conditionalFormatting sqref="I5">
    <cfRule type="cellIs" priority="1" operator="greater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0" customWidth="1" min="4" max="4"/>
    <col width="10" customWidth="1" min="5" max="5"/>
    <col width="20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Type</t>
        </is>
      </c>
      <c r="H1" s="1" t="inlineStr">
        <is>
          <t>📊 Monthly Summary</t>
        </is>
      </c>
    </row>
    <row r="2">
      <c r="H2" t="inlineStr">
        <is>
          <t>Total Income</t>
        </is>
      </c>
      <c r="I2">
        <f>SUMIF(E:E,"Income",C:C)</f>
        <v/>
      </c>
    </row>
    <row r="3">
      <c r="H3" t="inlineStr">
        <is>
          <t>Total Expenses</t>
        </is>
      </c>
      <c r="I3">
        <f>SUMIF(E:E,"Expense",C:C)</f>
        <v/>
      </c>
    </row>
    <row r="4">
      <c r="H4" t="inlineStr">
        <is>
          <t>Net Balance</t>
        </is>
      </c>
      <c r="I4">
        <f>I2-I3</f>
        <v/>
      </c>
    </row>
    <row r="5">
      <c r="H5" t="inlineStr">
        <is>
          <t>Uncategorized</t>
        </is>
      </c>
      <c r="I5">
        <f>COUNTIF(D:D,"Uncategorized")</f>
        <v/>
      </c>
    </row>
    <row r="7">
      <c r="H7" s="1" t="inlineStr">
        <is>
          <t>Category</t>
        </is>
      </c>
      <c r="I7" s="1" t="inlineStr">
        <is>
          <t>Subtotal</t>
        </is>
      </c>
    </row>
    <row r="8">
      <c r="H8" t="inlineStr">
        <is>
          <t>Food &amp; Dining</t>
        </is>
      </c>
      <c r="I8">
        <f>SUMIF(D:D,"Food &amp; Dining",C:C)</f>
        <v/>
      </c>
    </row>
    <row r="9">
      <c r="H9" t="inlineStr">
        <is>
          <t>Gas &amp; Fuel</t>
        </is>
      </c>
      <c r="I9">
        <f>SUMIF(D:D,"Gas &amp; Fuel",C:C)</f>
        <v/>
      </c>
    </row>
    <row r="10">
      <c r="H10" t="inlineStr">
        <is>
          <t>Groceries</t>
        </is>
      </c>
      <c r="I10">
        <f>SUMIF(D:D,"Groceries",C:C)</f>
        <v/>
      </c>
    </row>
    <row r="11">
      <c r="H11" t="inlineStr">
        <is>
          <t>Shopping</t>
        </is>
      </c>
      <c r="I11">
        <f>SUMIF(D:D,"Shopping",C:C)</f>
        <v/>
      </c>
    </row>
    <row r="12">
      <c r="H12" t="inlineStr">
        <is>
          <t>Subscriptions</t>
        </is>
      </c>
      <c r="I12">
        <f>SUMIF(D:D,"Subscriptions",C:C)</f>
        <v/>
      </c>
    </row>
    <row r="13">
      <c r="H13" t="inlineStr">
        <is>
          <t>Entertainment</t>
        </is>
      </c>
      <c r="I13">
        <f>SUMIF(D:D,"Entertainment",C:C)</f>
        <v/>
      </c>
    </row>
    <row r="14">
      <c r="H14" t="inlineStr">
        <is>
          <t>Healthcare</t>
        </is>
      </c>
      <c r="I14">
        <f>SUMIF(D:D,"Healthcare",C:C)</f>
        <v/>
      </c>
    </row>
    <row r="15">
      <c r="H15" t="inlineStr">
        <is>
          <t>Utilities</t>
        </is>
      </c>
      <c r="I15">
        <f>SUMIF(D:D,"Utilities",C:C)</f>
        <v/>
      </c>
    </row>
    <row r="16">
      <c r="H16" t="inlineStr">
        <is>
          <t>Travel</t>
        </is>
      </c>
      <c r="I16">
        <f>SUMIF(D:D,"Travel",C:C)</f>
        <v/>
      </c>
    </row>
    <row r="17">
      <c r="H17" t="inlineStr">
        <is>
          <t>Other</t>
        </is>
      </c>
      <c r="I17">
        <f>SUMIF(D:D,"Other",C:C)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2026-06-08T04:39:23Z</dcterms:created>
  <dcterms:modified xmlns:dcterms="http://purl.org/dc/terms/" xmlns:xsi="http://www.w3.org/2001/XMLSchema-instance" xsi:type="dcterms:W3CDTF">2026-06-08T04:39:23Z</dcterms:modified>
</cp:coreProperties>
</file>